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Details" sheetId="1" r:id="rId4"/>
    <sheet state="visible" name="Horizontal Analysis - Allcargo" sheetId="2" r:id="rId5"/>
    <sheet state="visible" name="Vertical Analysis - Allcargo" sheetId="3" r:id="rId6"/>
    <sheet state="visible" name="Ratio Analysis " sheetId="4" r:id="rId7"/>
    <sheet state="visible" name="Dupont Analysis" sheetId="5" r:id="rId8"/>
    <sheet state="visible" name="IS - BlueDart" sheetId="6" r:id="rId9"/>
    <sheet state="visible" name="BS - BlueDart" sheetId="7" r:id="rId10"/>
    <sheet state="visible" name="IS - Delhivery" sheetId="8" r:id="rId11"/>
    <sheet state="visible" name="BS - Delhivery" sheetId="9" r:id="rId12"/>
  </sheets>
  <definedNames/>
  <calcPr/>
</workbook>
</file>

<file path=xl/sharedStrings.xml><?xml version="1.0" encoding="utf-8"?>
<sst xmlns="http://schemas.openxmlformats.org/spreadsheetml/2006/main" count="1595" uniqueCount="240">
  <si>
    <t>Name</t>
  </si>
  <si>
    <t>Shreya Khubber</t>
  </si>
  <si>
    <t>ID</t>
  </si>
  <si>
    <t>2020A8PS1807P</t>
  </si>
  <si>
    <t>PS Station:</t>
  </si>
  <si>
    <t>Morningstar</t>
  </si>
  <si>
    <t>Horizontal Analysis of the Income Statement</t>
  </si>
  <si>
    <t>In Millions of INR except Per Share</t>
  </si>
  <si>
    <t>FY 2018</t>
  </si>
  <si>
    <t>FY 2019</t>
  </si>
  <si>
    <t>FY 2020</t>
  </si>
  <si>
    <t>FY 2021</t>
  </si>
  <si>
    <t>FY 2022</t>
  </si>
  <si>
    <t>FY 2023</t>
  </si>
  <si>
    <t>12 Months Ending</t>
  </si>
  <si>
    <t>03/31/2018</t>
  </si>
  <si>
    <t>03/31/2019</t>
  </si>
  <si>
    <t>03/31/2020</t>
  </si>
  <si>
    <t>03/31/2021</t>
  </si>
  <si>
    <t>03/31/2022</t>
  </si>
  <si>
    <t>03/31/2023</t>
  </si>
  <si>
    <t>Revenue</t>
  </si>
  <si>
    <t xml:space="preserve">    + Sales &amp; Services Revenue</t>
  </si>
  <si>
    <t xml:space="preserve">  + Other Operating Income</t>
  </si>
  <si>
    <t xml:space="preserve">  - Operating Expenses</t>
  </si>
  <si>
    <t xml:space="preserve">    + Selling, General &amp; Admin</t>
  </si>
  <si>
    <t>—</t>
  </si>
  <si>
    <t xml:space="preserve">    + Selling &amp; Marketing</t>
  </si>
  <si>
    <t xml:space="preserve">    + Research &amp; Development</t>
  </si>
  <si>
    <t xml:space="preserve">    + Depreciation &amp; Amortization</t>
  </si>
  <si>
    <t xml:space="preserve">    + Prov For Doubtful Accts</t>
  </si>
  <si>
    <t xml:space="preserve">    + Other Operating Expense</t>
  </si>
  <si>
    <t>Operating Income (Loss)</t>
  </si>
  <si>
    <t xml:space="preserve">  - Non-Operating (Income) Loss</t>
  </si>
  <si>
    <t xml:space="preserve">    + Interest Expense, Net</t>
  </si>
  <si>
    <t xml:space="preserve">    + Interest Expense</t>
  </si>
  <si>
    <t xml:space="preserve">    - Interest Income</t>
  </si>
  <si>
    <t xml:space="preserve">    + Other Investment (Inc) Loss</t>
  </si>
  <si>
    <t xml:space="preserve">    + Foreign Exch (Gain) Loss</t>
  </si>
  <si>
    <t xml:space="preserve">    + (Income) Loss from Affiliates</t>
  </si>
  <si>
    <t xml:space="preserve">    + Other Non-Op (Income) Loss</t>
  </si>
  <si>
    <t>Pretax Income (Loss), Adjusted</t>
  </si>
  <si>
    <t xml:space="preserve">  - Abnormal Losses (Gains)</t>
  </si>
  <si>
    <t xml:space="preserve">    + Disposal of Assets</t>
  </si>
  <si>
    <t xml:space="preserve">    + Asset Write-Down</t>
  </si>
  <si>
    <t xml:space="preserve">    + Impairment of Goodwill</t>
  </si>
  <si>
    <t xml:space="preserve">    + Gain/Loss on Sale/Acquisition of Business</t>
  </si>
  <si>
    <t xml:space="preserve">    + Sale of Investments</t>
  </si>
  <si>
    <t xml:space="preserve">    + Unrealized Investments</t>
  </si>
  <si>
    <t xml:space="preserve">    + Other Abnormal Items</t>
  </si>
  <si>
    <t>Pretax Income (Loss), GAAP</t>
  </si>
  <si>
    <t xml:space="preserve">  - Income Tax Expense (Benefit)</t>
  </si>
  <si>
    <t xml:space="preserve">    + Current Income Tax</t>
  </si>
  <si>
    <t xml:space="preserve">    + Deferred Income Tax</t>
  </si>
  <si>
    <t xml:space="preserve">    + Tax Allowance/Credit</t>
  </si>
  <si>
    <t xml:space="preserve">  - (Income) Loss from Affiliates</t>
  </si>
  <si>
    <t>Income (Loss) from Cont Ops</t>
  </si>
  <si>
    <t xml:space="preserve">  - Net Extraordinary Losses (Gains)</t>
  </si>
  <si>
    <t xml:space="preserve">    + Discontinued Operations</t>
  </si>
  <si>
    <t xml:space="preserve">    + XO &amp; Accounting Changes</t>
  </si>
  <si>
    <t>Income (Loss) Incl. MI</t>
  </si>
  <si>
    <t xml:space="preserve">  - Minority Interest</t>
  </si>
  <si>
    <t>Net Income, GAAP</t>
  </si>
  <si>
    <t xml:space="preserve">  - Preferred Dividends</t>
  </si>
  <si>
    <t xml:space="preserve">  - Other Adjustments</t>
  </si>
  <si>
    <t>Net Income Avail to Common, GAAP</t>
  </si>
  <si>
    <t>Net Income Avail to Common, Adj</t>
  </si>
  <si>
    <t xml:space="preserve">  Net Abnormal Losses (Gains)</t>
  </si>
  <si>
    <t xml:space="preserve">  Net Extraordinary Losses (Gains)</t>
  </si>
  <si>
    <t>Basic Weighted Avg Shares</t>
  </si>
  <si>
    <t>Basic EPS, GAAP</t>
  </si>
  <si>
    <t>Basic EPS from Cont Ops, GAAP</t>
  </si>
  <si>
    <t>Basic EPS from Cont Ops, Adjusted</t>
  </si>
  <si>
    <t>Diluted Weighted Avg Shares</t>
  </si>
  <si>
    <t>Diluted EPS, GAAP</t>
  </si>
  <si>
    <t>Diluted EPS from Cont Ops, GAAP</t>
  </si>
  <si>
    <t>Diluted EPS from Cont Ops, Adjusted</t>
  </si>
  <si>
    <t>Horizontal Analysis of the Balance sheet</t>
  </si>
  <si>
    <t>Total Assets</t>
  </si>
  <si>
    <t xml:space="preserve">  + Cash, Cash Equivalents &amp; STI</t>
  </si>
  <si>
    <t xml:space="preserve">    + Cash &amp; Cash Equivalents</t>
  </si>
  <si>
    <t xml:space="preserve">    + ST Investments</t>
  </si>
  <si>
    <t xml:space="preserve">  + Accounts &amp; Notes Receiv</t>
  </si>
  <si>
    <t xml:space="preserve">    + Accounts Receivable, Net</t>
  </si>
  <si>
    <t xml:space="preserve">    + Notes Receivable, Net</t>
  </si>
  <si>
    <t xml:space="preserve">  + Unbilled Revenues</t>
  </si>
  <si>
    <t xml:space="preserve">  + Inventories</t>
  </si>
  <si>
    <t xml:space="preserve">    + Raw Materials</t>
  </si>
  <si>
    <t xml:space="preserve">    + Work In Process</t>
  </si>
  <si>
    <t xml:space="preserve">    + Finished Goods</t>
  </si>
  <si>
    <t xml:space="preserve">    + Other Inventory</t>
  </si>
  <si>
    <t xml:space="preserve">  + Other ST Assets</t>
  </si>
  <si>
    <t xml:space="preserve">    + Prepaid Expenses</t>
  </si>
  <si>
    <t xml:space="preserve">    + Derivative &amp; Hedging Assets</t>
  </si>
  <si>
    <t xml:space="preserve">    + Assets Held-for-Sale</t>
  </si>
  <si>
    <t xml:space="preserve">    + Deferred Tax Assets</t>
  </si>
  <si>
    <t xml:space="preserve">    + Taxes Receivable</t>
  </si>
  <si>
    <t xml:space="preserve">    + Misc ST Assets</t>
  </si>
  <si>
    <t>Total Current Assets</t>
  </si>
  <si>
    <t xml:space="preserve">  + Property, Plant &amp; Equip, Net</t>
  </si>
  <si>
    <t xml:space="preserve">    + Property, Plant &amp; Equip</t>
  </si>
  <si>
    <t xml:space="preserve">    - Accumulated Depreciation</t>
  </si>
  <si>
    <t xml:space="preserve">  + LT Investments &amp; Receivables</t>
  </si>
  <si>
    <t xml:space="preserve">    + LT Investments</t>
  </si>
  <si>
    <t xml:space="preserve">    + LT Receivables</t>
  </si>
  <si>
    <t xml:space="preserve">  + Other LT Assets</t>
  </si>
  <si>
    <t xml:space="preserve">    + Total Intangible Assets</t>
  </si>
  <si>
    <t xml:space="preserve">    + Goodwill</t>
  </si>
  <si>
    <t xml:space="preserve">    + Other Intangible Assets</t>
  </si>
  <si>
    <t xml:space="preserve">    + Prepaid Expense</t>
  </si>
  <si>
    <t xml:space="preserve">    + Investments in Affiliates</t>
  </si>
  <si>
    <t xml:space="preserve">    + Misc LT Assets</t>
  </si>
  <si>
    <t>Total Noncurrent Assets</t>
  </si>
  <si>
    <t>Liabilities &amp; Shareholders' Equity</t>
  </si>
  <si>
    <t xml:space="preserve">  + Payables &amp; Accruals</t>
  </si>
  <si>
    <t xml:space="preserve">    + Accounts Payable</t>
  </si>
  <si>
    <t xml:space="preserve">    + Accrued Taxes</t>
  </si>
  <si>
    <t xml:space="preserve">    + Interest &amp; Dividends Payable</t>
  </si>
  <si>
    <t xml:space="preserve">    + Other Payables &amp; Accruals</t>
  </si>
  <si>
    <t xml:space="preserve">  + ST Debt</t>
  </si>
  <si>
    <t xml:space="preserve">    + ST Borrowings</t>
  </si>
  <si>
    <t xml:space="preserve">    + ST Lease Liabilities</t>
  </si>
  <si>
    <t xml:space="preserve">      + ST Finance Leases</t>
  </si>
  <si>
    <t xml:space="preserve">    + Current Portion of LT Debt</t>
  </si>
  <si>
    <t xml:space="preserve">  + Other ST Liabilities</t>
  </si>
  <si>
    <t xml:space="preserve">    + Deferred Revenue</t>
  </si>
  <si>
    <t xml:space="preserve">    + Derivatives &amp; Hedging</t>
  </si>
  <si>
    <t xml:space="preserve">    + Misc ST Liabilities</t>
  </si>
  <si>
    <t>Total Current Liabilities</t>
  </si>
  <si>
    <t xml:space="preserve">  + LT Debt</t>
  </si>
  <si>
    <t xml:space="preserve">    + LT Borrowings</t>
  </si>
  <si>
    <t xml:space="preserve">    + LT Lease Liabilities</t>
  </si>
  <si>
    <t xml:space="preserve">      + LT Finance Leases</t>
  </si>
  <si>
    <t xml:space="preserve">  + Other LT Liabilities</t>
  </si>
  <si>
    <t xml:space="preserve">    + Accrued Liabilities</t>
  </si>
  <si>
    <t xml:space="preserve">    + Pension Liabilities</t>
  </si>
  <si>
    <t xml:space="preserve">    + Deferred Compensation</t>
  </si>
  <si>
    <t xml:space="preserve">    + Deferred Tax Liabilities</t>
  </si>
  <si>
    <t xml:space="preserve">    + Misc LT Liabilities</t>
  </si>
  <si>
    <t>Total Noncurrent Liabilities</t>
  </si>
  <si>
    <t>Total Liabilities</t>
  </si>
  <si>
    <t xml:space="preserve">  + Preferred Equity and Hybrid Capital</t>
  </si>
  <si>
    <t xml:space="preserve">  + Share Capital &amp; APIC</t>
  </si>
  <si>
    <t xml:space="preserve">    + Common Stock</t>
  </si>
  <si>
    <t xml:space="preserve">    + Additional Paid in Capital</t>
  </si>
  <si>
    <t xml:space="preserve">  - Treasury Stock</t>
  </si>
  <si>
    <t xml:space="preserve">  + Retained Earnings</t>
  </si>
  <si>
    <t xml:space="preserve">  + Other Equity</t>
  </si>
  <si>
    <t>Equity Before Minority Interest</t>
  </si>
  <si>
    <t xml:space="preserve">  + Minority/Non Controlling Interest</t>
  </si>
  <si>
    <t>Total Equity</t>
  </si>
  <si>
    <t>Total Liabilities &amp; Equity</t>
  </si>
  <si>
    <t>Reference Items - Allcargo</t>
  </si>
  <si>
    <t>Accounting Standard</t>
  </si>
  <si>
    <t>IN GAAP</t>
  </si>
  <si>
    <t>EBITDA</t>
  </si>
  <si>
    <t>EBITDA Margin (T12M)</t>
  </si>
  <si>
    <t>EBITA</t>
  </si>
  <si>
    <t>EBIT</t>
  </si>
  <si>
    <t>Operating Margin</t>
  </si>
  <si>
    <t>Profit Margin</t>
  </si>
  <si>
    <t>Sales per Employee</t>
  </si>
  <si>
    <t>Dividends per Share</t>
  </si>
  <si>
    <t>Total Cash Common Dividends</t>
  </si>
  <si>
    <t>Capitalized Interest Expense</t>
  </si>
  <si>
    <t>Personnel Expenses</t>
  </si>
  <si>
    <t>Export Sales</t>
  </si>
  <si>
    <t>Depreciation Expense</t>
  </si>
  <si>
    <t>Rental Expense</t>
  </si>
  <si>
    <t>Vertical Analysis of the Income Statement</t>
  </si>
  <si>
    <t>Vertical Analysis of the Balance sheet</t>
  </si>
  <si>
    <t>Liquidity Ratios</t>
  </si>
  <si>
    <t>Current ratio</t>
  </si>
  <si>
    <t>Allcargo</t>
  </si>
  <si>
    <t>BlueDart</t>
  </si>
  <si>
    <t>Delhivery</t>
  </si>
  <si>
    <t>Inferences:</t>
  </si>
  <si>
    <r>
      <rPr>
        <rFont val="Arial"/>
        <color rgb="FF333333"/>
        <sz val="10.0"/>
      </rPr>
      <t xml:space="preserve">1. The increase in current ratio from 2020 to 2023 for </t>
    </r>
    <r>
      <rPr>
        <rFont val="Arial"/>
        <b/>
        <color rgb="FF333333"/>
        <sz val="10.0"/>
      </rPr>
      <t xml:space="preserve">Allcargo logistics </t>
    </r>
    <r>
      <rPr>
        <rFont val="Arial"/>
        <color rgb="FF333333"/>
        <sz val="10.0"/>
      </rPr>
      <t>suggests an improvement in
 a company's short-term liquidity and financial health.</t>
    </r>
  </si>
  <si>
    <t>2. After Benchmarking with copmpetitors, the company isnt doing as well as Delhivery or BlueDart</t>
  </si>
  <si>
    <t>3. A dip in the ratio  from 2019 to 2020 could have been caused by COVID 19</t>
  </si>
  <si>
    <t>Cash ratio</t>
  </si>
  <si>
    <t>1. The dip in the ratio for Allcargo logistic scould have been caused by COVID 19 pandemic</t>
  </si>
  <si>
    <t>2. The increase from 2020 to 2023 suggests an improvement in a company's liquidity, specifically in
 terms of its ability to cover short-term liabilities with cash and cash equivalents</t>
  </si>
  <si>
    <r>
      <rPr>
        <rFont val="Arial"/>
        <color rgb="FF333333"/>
        <sz val="10.0"/>
      </rPr>
      <t xml:space="preserve">3. The order of liquidity can be </t>
    </r>
    <r>
      <rPr>
        <rFont val="Arial"/>
        <b/>
        <color rgb="FF333333"/>
        <sz val="10.0"/>
      </rPr>
      <t>Delhivery&gt;Allcargo&gt;BlueDart</t>
    </r>
  </si>
  <si>
    <t>Leverage Financial Ratios</t>
  </si>
  <si>
    <t>Debt to assets ratio</t>
  </si>
  <si>
    <r>
      <rPr>
        <rFont val="Arial"/>
        <color rgb="FF333333"/>
        <sz val="10.0"/>
      </rPr>
      <t xml:space="preserve">1. A decrease in the debt-to-assets ratio for </t>
    </r>
    <r>
      <rPr>
        <rFont val="Arial"/>
        <b/>
        <color rgb="FF333333"/>
        <sz val="10.0"/>
      </rPr>
      <t xml:space="preserve">Allcargo Logistics </t>
    </r>
    <r>
      <rPr>
        <rFont val="Arial"/>
        <color rgb="FF333333"/>
        <sz val="10.0"/>
      </rPr>
      <t>typically indicates a positive
 financial development for a company</t>
    </r>
  </si>
  <si>
    <t>2. Delhivery seems to outperform Allcargo and BlueDart having the least of Debt to asset ratio
across last 5 years</t>
  </si>
  <si>
    <t>Debt to equity ratio</t>
  </si>
  <si>
    <t>1 An almost stable debt to equity ratio suggests that Allcargo has had a stable in the journey
 past 5 years</t>
  </si>
  <si>
    <t>2. A suddent increase in the debt to equity ratio during the FY 2020 could be caused by the heavy
 debt intake during the COVID19 pandemic due to shutting down of logistics business in some regions</t>
  </si>
  <si>
    <t>Efficiency Ratios</t>
  </si>
  <si>
    <t>Asset turnover ratio</t>
  </si>
  <si>
    <r>
      <rPr>
        <rFont val="Arial"/>
        <color rgb="FF333333"/>
        <sz val="10.0"/>
      </rPr>
      <t xml:space="preserve">1. A slight drop in the asset turnover ratio for </t>
    </r>
    <r>
      <rPr>
        <rFont val="Arial"/>
        <b/>
        <color rgb="FF333333"/>
        <sz val="10.0"/>
      </rPr>
      <t xml:space="preserve">Allcargo Logistics across past 5 years </t>
    </r>
    <r>
      <rPr>
        <rFont val="Arial"/>
        <color rgb="FF333333"/>
        <sz val="10.0"/>
      </rPr>
      <t>suggests a
 decline in a company's efficiency in generating sales from its assets. It may indicate that the company
 is not effectively utilizing its assets to generate revenue, which can be a concern for operational
 efficiency and profitability.</t>
    </r>
  </si>
  <si>
    <t>Inventory turnover ratio</t>
  </si>
  <si>
    <t>-</t>
  </si>
  <si>
    <r>
      <rPr>
        <rFont val="Arial"/>
        <color rgb="FF333333"/>
        <sz val="10.0"/>
      </rPr>
      <t xml:space="preserve">1. A high inventory turnove ratio for </t>
    </r>
    <r>
      <rPr>
        <rFont val="Arial"/>
        <b/>
        <color rgb="FF333333"/>
        <sz val="10.0"/>
      </rPr>
      <t xml:space="preserve">Allcargo logistics </t>
    </r>
    <r>
      <rPr>
        <rFont val="Arial"/>
        <color rgb="FF333333"/>
        <sz val="10.0"/>
      </rPr>
      <t>suggests that products are selling in a timely
 manner, and that sales are good in a given period. However, an inventory ratio that is too high could 
mean that it need to replenish inventory constantly, which could lead to stockouts.</t>
    </r>
  </si>
  <si>
    <t>Receivables turnover ratio</t>
  </si>
  <si>
    <t>1. Since the ratio has been almost stagnant for all three companies it seems as if they are performing
 similarily across this area of evaluation</t>
  </si>
  <si>
    <t>Profitability Ratios</t>
  </si>
  <si>
    <t xml:space="preserve">Operating margin ratio </t>
  </si>
  <si>
    <r>
      <rPr>
        <rFont val="Arial"/>
        <color rgb="FF333333"/>
        <sz val="10.0"/>
      </rPr>
      <t xml:space="preserve">1. An increasing operating margin for </t>
    </r>
    <r>
      <rPr>
        <rFont val="Arial"/>
        <b/>
        <color rgb="FF333333"/>
        <sz val="10.0"/>
      </rPr>
      <t xml:space="preserve">Allcargo Logistics </t>
    </r>
    <r>
      <rPr>
        <rFont val="Arial"/>
        <color rgb="FF333333"/>
        <sz val="10.0"/>
      </rPr>
      <t>indicates that it is becoming more efficient
 in managing its operating expenses and generating more profit from each dollar of revenue.</t>
    </r>
  </si>
  <si>
    <t>2. A negetive operating margin for Delhivery indicates that a company is experiencing operating
 losses, indicating that its operating expenses exceed its gross profit. This is a sign of financial
 distress and inefficiency in managing costs.</t>
  </si>
  <si>
    <t>Net profit Margin</t>
  </si>
  <si>
    <r>
      <rPr>
        <rFont val="Arial"/>
        <color rgb="FF333333"/>
        <sz val="10.0"/>
      </rPr>
      <t xml:space="preserve">1. A stable net profit margin for </t>
    </r>
    <r>
      <rPr>
        <rFont val="Arial"/>
        <b/>
        <color rgb="FF333333"/>
        <sz val="10.0"/>
      </rPr>
      <t>Allcargo Logistics</t>
    </r>
    <r>
      <rPr>
        <rFont val="Arial"/>
        <color rgb="FF333333"/>
        <sz val="10.0"/>
      </rPr>
      <t xml:space="preserve"> over a five-year period suggests that the company
 has been able to maintain consistent profitability relative to its revenue.</t>
    </r>
  </si>
  <si>
    <t>2. Negetive Profit margin for Delhivery is indicative that it might have incurred losses</t>
  </si>
  <si>
    <t>ROE(%)</t>
  </si>
  <si>
    <t>1. Allcargo Logistics has been offering a stable ROE over the past 5 years indicative of the fact
 that it is a good security to invest in</t>
  </si>
  <si>
    <t>ROE = (Net Income/Sales)x(sales/Total Assets)x(Total Assets/Equity)</t>
  </si>
  <si>
    <t>ROE = (Profitability)x(Efficiency)x(Equity Multiplier)</t>
  </si>
  <si>
    <t>Dupont Analysis for FY 2023</t>
  </si>
  <si>
    <t xml:space="preserve">Profitability </t>
  </si>
  <si>
    <t>Efficiency</t>
  </si>
  <si>
    <t>Equity Multiplier</t>
  </si>
  <si>
    <t>ROE</t>
  </si>
  <si>
    <t>Allcargo logistics</t>
  </si>
  <si>
    <r>
      <rPr>
        <rFont val="Arial"/>
        <color theme="1"/>
      </rPr>
      <t>1. The ROE calculated from the dupon analysis is</t>
    </r>
    <r>
      <rPr>
        <rFont val="Arial"/>
        <b/>
        <color theme="1"/>
      </rPr>
      <t xml:space="preserve"> 24.50 </t>
    </r>
    <r>
      <rPr>
        <rFont val="Arial"/>
        <color theme="1"/>
      </rPr>
      <t>for Allcargo which is almost close to calculated by raw calculation from financial statements  i.e.</t>
    </r>
    <r>
      <rPr>
        <rFont val="Arial"/>
        <b/>
        <color theme="1"/>
      </rPr>
      <t xml:space="preserve"> 21.017</t>
    </r>
  </si>
  <si>
    <t xml:space="preserve">2. This shows the accuracy of the method </t>
  </si>
  <si>
    <t>Gross Profit</t>
  </si>
  <si>
    <t>Reference Items</t>
  </si>
  <si>
    <t>Gross Margin</t>
  </si>
  <si>
    <t xml:space="preserve">    + LT Marketable Securities</t>
  </si>
  <si>
    <t xml:space="preserve">    + Pensions</t>
  </si>
  <si>
    <t xml:space="preserve">    + Other Post-Ret Benefits</t>
  </si>
  <si>
    <t>Shares Outstanding</t>
  </si>
  <si>
    <t>Number of Treasury Shares</t>
  </si>
  <si>
    <t>Pension Obligations</t>
  </si>
  <si>
    <t>Future Minimum Operating Lease Obligations</t>
  </si>
  <si>
    <t>Capital Leases - Total</t>
  </si>
  <si>
    <t>Percent Of Foreign Ownership</t>
  </si>
  <si>
    <t>Number Of Shareholders</t>
  </si>
  <si>
    <t>Options Granted During Period</t>
  </si>
  <si>
    <t>Options Outstanding at Period End</t>
  </si>
  <si>
    <t>Net Debt</t>
  </si>
  <si>
    <t>Net Debt to Equity</t>
  </si>
  <si>
    <t>Tangible Common Equity Ratio</t>
  </si>
  <si>
    <t>Current Ratio</t>
  </si>
  <si>
    <t>Number of Employees</t>
  </si>
  <si>
    <t>Current Profit</t>
  </si>
  <si>
    <t>Cash Conversion Cycle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</si>
</sst>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0">
    <font>
      <sz val="11.0"/>
      <color theme="1"/>
      <name val="Calibri"/>
      <scheme val="minor"/>
    </font>
    <font>
      <b/>
      <sz val="11.0"/>
      <color theme="1"/>
      <name val="Arial"/>
    </font>
    <font>
      <b/>
      <sz val="11.0"/>
      <color theme="1"/>
      <name val="Calibri"/>
    </font>
    <font>
      <sz val="11.0"/>
      <color theme="1"/>
      <name val="Calibri"/>
    </font>
    <font>
      <b/>
      <sz val="10.0"/>
      <color theme="1"/>
      <name val="Calibri"/>
    </font>
    <font>
      <sz val="10.0"/>
      <color theme="1"/>
      <name val="Calibri"/>
    </font>
    <font>
      <b/>
      <sz val="10.0"/>
      <color rgb="FFFFFFFF"/>
      <name val="Arial"/>
    </font>
    <font>
      <b/>
      <color rgb="FFFFFFFF"/>
      <name val="Arial"/>
    </font>
    <font>
      <b/>
      <sz val="10.0"/>
      <color theme="1"/>
      <name val="Arial"/>
    </font>
    <font>
      <b/>
      <sz val="10.0"/>
      <color rgb="FF000000"/>
      <name val="Arial"/>
    </font>
    <font>
      <b/>
      <color theme="1"/>
      <name val="Arial"/>
    </font>
    <font>
      <sz val="10.0"/>
      <color rgb="FF000000"/>
      <name val="Arial"/>
    </font>
    <font>
      <sz val="10.0"/>
      <color rgb="FF333333"/>
      <name val="Arial"/>
    </font>
    <font>
      <color theme="1"/>
      <name val="Arial"/>
    </font>
    <font>
      <i/>
      <sz val="10.0"/>
      <color rgb="FF333333"/>
      <name val="Arial"/>
    </font>
    <font>
      <i/>
      <color theme="1"/>
      <name val="Arial"/>
    </font>
    <font>
      <i/>
      <sz val="10.0"/>
      <color rgb="FF000000"/>
      <name val="Arial"/>
    </font>
    <font>
      <sz val="9.0"/>
      <color rgb="FF000000"/>
      <name val="Arial"/>
    </font>
    <font>
      <b/>
      <color rgb="FF132E57"/>
      <name val="&quot;Open Sans&quot;"/>
    </font>
    <font>
      <b/>
      <sz val="11.0"/>
      <color rgb="FFFFFFFF"/>
      <name val="Calibri"/>
    </font>
    <font>
      <b/>
      <sz val="16.0"/>
      <color rgb="FFFFFFFF"/>
      <name val="Arial"/>
    </font>
    <font>
      <b/>
      <sz val="10.0"/>
      <color rgb="FF333333"/>
      <name val="Arial"/>
    </font>
    <font>
      <sz val="10.0"/>
      <color theme="1"/>
      <name val="Arial"/>
    </font>
    <font>
      <color theme="1"/>
      <name val="Calibri"/>
      <scheme val="minor"/>
    </font>
    <font>
      <sz val="11.0"/>
      <color rgb="FF333333"/>
      <name val="Helvetica"/>
    </font>
    <font>
      <b/>
      <sz val="15.0"/>
      <color theme="1"/>
      <name val="Calibri"/>
      <scheme val="minor"/>
    </font>
    <font>
      <sz val="11.0"/>
      <color theme="1"/>
      <name val="Arial"/>
    </font>
    <font>
      <b/>
      <color theme="1"/>
      <name val="Calibri"/>
      <scheme val="minor"/>
    </font>
    <font>
      <color rgb="FF333333"/>
      <name val="Arial"/>
    </font>
    <font>
      <i/>
      <color rgb="FF333333"/>
      <name val="Arial"/>
    </font>
  </fonts>
  <fills count="8">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F81BD"/>
        <bgColor rgb="FF4F81BD"/>
      </patternFill>
    </fill>
    <fill>
      <patternFill patternType="solid">
        <fgColor rgb="FFD9D9D9"/>
        <bgColor rgb="FFD9D9D9"/>
      </patternFill>
    </fill>
    <fill>
      <patternFill patternType="solid">
        <fgColor rgb="FFCCCCCC"/>
        <bgColor rgb="FFCCCCCC"/>
      </patternFill>
    </fill>
    <fill>
      <patternFill patternType="solid">
        <fgColor rgb="FFCFE2F3"/>
        <bgColor rgb="FFCFE2F3"/>
      </patternFill>
    </fill>
  </fills>
  <borders count="22">
    <border/>
    <border>
      <left/>
      <right/>
      <top/>
      <bottom/>
    </border>
    <border>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border>
    <border>
      <left style="thin">
        <color rgb="FF000000"/>
      </left>
      <right style="thin">
        <color rgb="FF000000"/>
      </right>
    </border>
    <border>
      <left style="thin">
        <color rgb="FF000000"/>
      </left>
      <right style="thin">
        <color rgb="FF000000"/>
      </right>
      <top/>
      <bottom/>
    </border>
    <border>
      <left style="thin">
        <color rgb="FF000000"/>
      </left>
      <top/>
      <bottom/>
    </border>
    <border>
      <left style="thin">
        <color rgb="FF000000"/>
      </left>
      <right/>
      <top/>
      <bottom style="thin">
        <color rgb="FF000000"/>
      </bottom>
    </border>
    <border>
      <left/>
      <right/>
      <top style="thin">
        <color rgb="FF000000"/>
      </top>
      <bottom/>
    </border>
    <border>
      <left style="thin">
        <color rgb="FF000000"/>
      </left>
      <right style="thin">
        <color rgb="FF000000"/>
      </right>
      <top/>
    </border>
    <border>
      <left style="thin">
        <color rgb="FF000000"/>
      </left>
      <right style="thin">
        <color rgb="FF000000"/>
      </right>
      <top style="thin">
        <color rgb="FF000000"/>
      </top>
      <bottom style="thin">
        <color rgb="FF000000"/>
      </bottom>
    </border>
    <border>
      <left style="thin">
        <color rgb="FF000000"/>
      </left>
      <top/>
    </border>
    <border>
      <left style="thin">
        <color rgb="FF000000"/>
      </left>
      <top/>
      <bottom style="thin">
        <color rgb="FF000000"/>
      </bottom>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xf>
    <xf borderId="1" fillId="2" fontId="3" numFmtId="0" xfId="0" applyAlignment="1" applyBorder="1" applyFont="1">
      <alignment horizontal="center"/>
    </xf>
    <xf borderId="0" fillId="2" fontId="0" numFmtId="0" xfId="0" applyFont="1"/>
    <xf borderId="2" fillId="3" fontId="4" numFmtId="0" xfId="0" applyAlignment="1" applyBorder="1" applyFill="1" applyFont="1">
      <alignment horizontal="center" readingOrder="0"/>
    </xf>
    <xf borderId="2" fillId="0" fontId="5" numFmtId="0" xfId="0" applyAlignment="1" applyBorder="1" applyFont="1">
      <alignment horizontal="center"/>
    </xf>
    <xf borderId="2" fillId="3" fontId="5" numFmtId="0" xfId="0" applyAlignment="1" applyBorder="1" applyFont="1">
      <alignment horizontal="center"/>
    </xf>
    <xf borderId="3" fillId="4" fontId="6" numFmtId="0" xfId="0" applyAlignment="1" applyBorder="1" applyFill="1" applyFont="1">
      <alignment horizontal="left"/>
    </xf>
    <xf borderId="4" fillId="5" fontId="7" numFmtId="0" xfId="0" applyAlignment="1" applyBorder="1" applyFill="1" applyFont="1">
      <alignment horizontal="right" vertical="bottom"/>
    </xf>
    <xf borderId="3" fillId="4" fontId="6" numFmtId="0" xfId="0" applyAlignment="1" applyBorder="1" applyFont="1">
      <alignment horizontal="right"/>
    </xf>
    <xf borderId="0" fillId="0" fontId="8" numFmtId="0" xfId="0" applyAlignment="1" applyFont="1">
      <alignment horizontal="right"/>
    </xf>
    <xf borderId="5" fillId="4" fontId="6" numFmtId="0" xfId="0" applyAlignment="1" applyBorder="1" applyFont="1">
      <alignment horizontal="left"/>
    </xf>
    <xf borderId="6" fillId="5" fontId="7" numFmtId="0" xfId="0" applyAlignment="1" applyBorder="1" applyFont="1">
      <alignment horizontal="right" vertical="bottom"/>
    </xf>
    <xf borderId="5" fillId="4" fontId="6" numFmtId="0" xfId="0" applyAlignment="1" applyBorder="1" applyFont="1">
      <alignment horizontal="right"/>
    </xf>
    <xf borderId="7" fillId="3" fontId="9" numFmtId="0" xfId="0" applyBorder="1" applyFont="1"/>
    <xf borderId="8" fillId="5" fontId="10" numFmtId="164" xfId="0" applyAlignment="1" applyBorder="1" applyFont="1" applyNumberFormat="1">
      <alignment horizontal="right" vertical="bottom"/>
    </xf>
    <xf borderId="9" fillId="3" fontId="9" numFmtId="164" xfId="0" applyAlignment="1" applyBorder="1" applyFont="1" applyNumberFormat="1">
      <alignment horizontal="right"/>
    </xf>
    <xf borderId="9" fillId="3" fontId="11" numFmtId="164" xfId="0" applyAlignment="1" applyBorder="1" applyFont="1" applyNumberFormat="1">
      <alignment horizontal="right"/>
    </xf>
    <xf borderId="0" fillId="3" fontId="9" numFmtId="164" xfId="0" applyAlignment="1" applyFont="1" applyNumberFormat="1">
      <alignment horizontal="right"/>
    </xf>
    <xf borderId="7" fillId="3" fontId="12" numFmtId="0" xfId="0" applyBorder="1" applyFont="1"/>
    <xf borderId="8" fillId="5" fontId="13" numFmtId="164" xfId="0" applyAlignment="1" applyBorder="1" applyFont="1" applyNumberFormat="1">
      <alignment horizontal="right" vertical="bottom"/>
    </xf>
    <xf borderId="7" fillId="3" fontId="14" numFmtId="0" xfId="0" applyBorder="1" applyFont="1"/>
    <xf borderId="8" fillId="5" fontId="15" numFmtId="164" xfId="0" applyAlignment="1" applyBorder="1" applyFont="1" applyNumberFormat="1">
      <alignment horizontal="right" vertical="bottom"/>
    </xf>
    <xf borderId="9" fillId="3" fontId="16" numFmtId="164" xfId="0" applyAlignment="1" applyBorder="1" applyFont="1" applyNumberFormat="1">
      <alignment horizontal="right"/>
    </xf>
    <xf borderId="8" fillId="5" fontId="3" numFmtId="3" xfId="0" applyAlignment="1" applyBorder="1" applyFont="1" applyNumberFormat="1">
      <alignment vertical="bottom"/>
    </xf>
    <xf borderId="9" fillId="3" fontId="9" numFmtId="3" xfId="0" applyAlignment="1" applyBorder="1" applyFont="1" applyNumberFormat="1">
      <alignment horizontal="right"/>
    </xf>
    <xf borderId="8" fillId="5" fontId="10" numFmtId="4" xfId="0" applyAlignment="1" applyBorder="1" applyFont="1" applyNumberFormat="1">
      <alignment horizontal="right" vertical="bottom"/>
    </xf>
    <xf borderId="9" fillId="3" fontId="9" numFmtId="4" xfId="0" applyAlignment="1" applyBorder="1" applyFont="1" applyNumberFormat="1">
      <alignment horizontal="right"/>
    </xf>
    <xf borderId="10" fillId="5" fontId="9" numFmtId="3" xfId="0" applyAlignment="1" applyBorder="1" applyFont="1" applyNumberFormat="1">
      <alignment horizontal="right"/>
    </xf>
    <xf borderId="11" fillId="3" fontId="9" numFmtId="0" xfId="0" applyBorder="1" applyFont="1"/>
    <xf borderId="5" fillId="3" fontId="11" numFmtId="164" xfId="0" applyAlignment="1" applyBorder="1" applyFont="1" applyNumberFormat="1">
      <alignment horizontal="right"/>
    </xf>
    <xf borderId="12" fillId="3" fontId="16" numFmtId="0" xfId="0" applyBorder="1" applyFont="1"/>
    <xf borderId="12" fillId="0" fontId="16" numFmtId="0" xfId="0" applyBorder="1" applyFont="1"/>
    <xf borderId="4" fillId="6" fontId="7" numFmtId="0" xfId="0" applyAlignment="1" applyBorder="1" applyFill="1" applyFont="1">
      <alignment horizontal="right" vertical="bottom"/>
    </xf>
    <xf borderId="0" fillId="4" fontId="6" numFmtId="0" xfId="0" applyAlignment="1" applyFont="1">
      <alignment horizontal="right"/>
    </xf>
    <xf borderId="6" fillId="6" fontId="7" numFmtId="0" xfId="0" applyAlignment="1" applyBorder="1" applyFont="1">
      <alignment horizontal="right" vertical="bottom"/>
    </xf>
    <xf borderId="8" fillId="6" fontId="3" numFmtId="3" xfId="0" applyAlignment="1" applyBorder="1" applyFont="1" applyNumberFormat="1">
      <alignment vertical="bottom"/>
    </xf>
    <xf borderId="13" fillId="3" fontId="9" numFmtId="3" xfId="0" applyAlignment="1" applyBorder="1" applyFont="1" applyNumberFormat="1">
      <alignment horizontal="right"/>
    </xf>
    <xf borderId="0" fillId="3" fontId="9" numFmtId="3" xfId="0" applyAlignment="1" applyFont="1" applyNumberFormat="1">
      <alignment horizontal="right"/>
    </xf>
    <xf borderId="8" fillId="6" fontId="13" numFmtId="164" xfId="0" applyAlignment="1" applyBorder="1" applyFont="1" applyNumberFormat="1">
      <alignment horizontal="right" vertical="bottom"/>
    </xf>
    <xf borderId="10" fillId="3" fontId="12" numFmtId="0" xfId="0" applyBorder="1" applyFont="1"/>
    <xf borderId="14" fillId="3" fontId="17" numFmtId="164" xfId="0" applyAlignment="1" applyBorder="1" applyFont="1" applyNumberFormat="1">
      <alignment readingOrder="0"/>
    </xf>
    <xf borderId="0" fillId="3" fontId="17" numFmtId="164" xfId="0" applyAlignment="1" applyFont="1" applyNumberFormat="1">
      <alignment readingOrder="0"/>
    </xf>
    <xf borderId="8" fillId="6" fontId="10" numFmtId="164" xfId="0" applyAlignment="1" applyBorder="1" applyFont="1" applyNumberFormat="1">
      <alignment horizontal="right" vertical="bottom"/>
    </xf>
    <xf borderId="10" fillId="3" fontId="9" numFmtId="0" xfId="0" applyBorder="1" applyFont="1"/>
    <xf borderId="8" fillId="6" fontId="15" numFmtId="164" xfId="0" applyAlignment="1" applyBorder="1" applyFont="1" applyNumberFormat="1">
      <alignment horizontal="right" vertical="bottom"/>
    </xf>
    <xf borderId="10" fillId="3" fontId="14" numFmtId="0" xfId="0" applyBorder="1" applyFont="1"/>
    <xf borderId="15" fillId="3" fontId="9" numFmtId="0" xfId="0" applyBorder="1" applyFont="1"/>
    <xf borderId="16" fillId="5" fontId="9" numFmtId="3" xfId="0" applyAlignment="1" applyBorder="1" applyFont="1" applyNumberFormat="1">
      <alignment horizontal="right"/>
    </xf>
    <xf borderId="5" fillId="3" fontId="9" numFmtId="3" xfId="0" applyAlignment="1" applyBorder="1" applyFont="1" applyNumberFormat="1">
      <alignment horizontal="right"/>
    </xf>
    <xf borderId="14" fillId="3" fontId="9" numFmtId="0" xfId="0" applyBorder="1" applyFont="1"/>
    <xf borderId="0" fillId="0" fontId="9" numFmtId="0" xfId="0" applyFont="1"/>
    <xf borderId="0" fillId="0" fontId="9" numFmtId="3" xfId="0" applyAlignment="1" applyFont="1" applyNumberFormat="1">
      <alignment horizontal="right"/>
    </xf>
    <xf borderId="0" fillId="0" fontId="17" numFmtId="164" xfId="0" applyAlignment="1" applyFont="1" applyNumberFormat="1">
      <alignment readingOrder="0"/>
    </xf>
    <xf borderId="14" fillId="2" fontId="9" numFmtId="0" xfId="0" applyAlignment="1" applyBorder="1" applyFont="1">
      <alignment readingOrder="0"/>
    </xf>
    <xf borderId="14" fillId="2" fontId="9" numFmtId="3" xfId="0" applyAlignment="1" applyBorder="1" applyFont="1" applyNumberFormat="1">
      <alignment horizontal="right"/>
    </xf>
    <xf borderId="0" fillId="0" fontId="11" numFmtId="3" xfId="0" applyAlignment="1" applyFont="1" applyNumberFormat="1">
      <alignment horizontal="right"/>
    </xf>
    <xf borderId="0" fillId="0" fontId="12" numFmtId="0" xfId="0" applyFont="1"/>
    <xf borderId="14" fillId="3" fontId="12" numFmtId="0" xfId="0" applyBorder="1" applyFont="1"/>
    <xf borderId="14" fillId="3" fontId="11" numFmtId="3" xfId="0" applyAlignment="1" applyBorder="1" applyFont="1" applyNumberFormat="1">
      <alignment horizontal="right"/>
    </xf>
    <xf borderId="0" fillId="0" fontId="11" numFmtId="164" xfId="0" applyAlignment="1" applyFont="1" applyNumberFormat="1">
      <alignment horizontal="right"/>
    </xf>
    <xf borderId="14" fillId="3" fontId="11" numFmtId="164" xfId="0" applyAlignment="1" applyBorder="1" applyFont="1" applyNumberFormat="1">
      <alignment horizontal="right"/>
    </xf>
    <xf borderId="14" fillId="3" fontId="11" numFmtId="4" xfId="0" applyAlignment="1" applyBorder="1" applyFont="1" applyNumberFormat="1">
      <alignment horizontal="right"/>
    </xf>
    <xf borderId="0" fillId="0" fontId="11" numFmtId="4" xfId="0" applyAlignment="1" applyFont="1" applyNumberFormat="1">
      <alignment horizontal="right"/>
    </xf>
    <xf borderId="2" fillId="0" fontId="2" numFmtId="0" xfId="0" applyAlignment="1" applyBorder="1" applyFont="1">
      <alignment horizontal="center" readingOrder="0"/>
    </xf>
    <xf borderId="2" fillId="0" fontId="3" numFmtId="0" xfId="0" applyAlignment="1" applyBorder="1" applyFont="1">
      <alignment horizontal="center"/>
    </xf>
    <xf borderId="4" fillId="3" fontId="10" numFmtId="164" xfId="0" applyAlignment="1" applyBorder="1" applyFont="1" applyNumberFormat="1">
      <alignment horizontal="right" vertical="bottom"/>
    </xf>
    <xf borderId="17" fillId="3" fontId="10" numFmtId="164" xfId="0" applyAlignment="1" applyBorder="1" applyFont="1" applyNumberFormat="1">
      <alignment horizontal="right" vertical="bottom"/>
    </xf>
    <xf borderId="1" fillId="0" fontId="2" numFmtId="0" xfId="0" applyAlignment="1" applyBorder="1" applyFont="1">
      <alignment horizontal="center" readingOrder="0"/>
    </xf>
    <xf borderId="1" fillId="0" fontId="3" numFmtId="0" xfId="0" applyAlignment="1" applyBorder="1" applyFont="1">
      <alignment horizontal="center"/>
    </xf>
    <xf borderId="0" fillId="2" fontId="18" numFmtId="0" xfId="0" applyAlignment="1" applyFont="1">
      <alignment readingOrder="0"/>
    </xf>
    <xf borderId="0" fillId="2" fontId="19" numFmtId="0" xfId="0" applyFont="1"/>
    <xf borderId="0" fillId="0" fontId="19" numFmtId="0" xfId="0" applyFont="1"/>
    <xf borderId="14" fillId="0" fontId="9" numFmtId="0" xfId="0" applyAlignment="1" applyBorder="1" applyFont="1">
      <alignment horizontal="right"/>
    </xf>
    <xf borderId="0" fillId="0" fontId="20" numFmtId="0" xfId="0" applyAlignment="1" applyFont="1">
      <alignment horizontal="left" readingOrder="1" vertical="center"/>
    </xf>
    <xf borderId="0" fillId="0" fontId="12" numFmtId="0" xfId="0" applyAlignment="1" applyFont="1">
      <alignment readingOrder="0"/>
    </xf>
    <xf borderId="0" fillId="0" fontId="21" numFmtId="0" xfId="0" applyAlignment="1" applyFont="1">
      <alignment readingOrder="0"/>
    </xf>
    <xf borderId="0" fillId="0" fontId="22" numFmtId="0" xfId="0" applyAlignment="1" applyFont="1">
      <alignment horizontal="center"/>
    </xf>
    <xf borderId="0" fillId="0" fontId="5" numFmtId="0" xfId="0" applyAlignment="1" applyFont="1">
      <alignment horizontal="center"/>
    </xf>
    <xf borderId="14" fillId="7" fontId="21" numFmtId="0" xfId="0" applyAlignment="1" applyBorder="1" applyFill="1" applyFont="1">
      <alignment readingOrder="0"/>
    </xf>
    <xf borderId="14" fillId="7" fontId="12" numFmtId="0" xfId="0" applyAlignment="1" applyBorder="1" applyFont="1">
      <alignment readingOrder="0"/>
    </xf>
    <xf borderId="14" fillId="7" fontId="23" numFmtId="0" xfId="0" applyBorder="1" applyFont="1"/>
    <xf borderId="0" fillId="0" fontId="6" numFmtId="0" xfId="0" applyAlignment="1" applyFont="1">
      <alignment horizontal="right"/>
    </xf>
    <xf borderId="0" fillId="0" fontId="11" numFmtId="0" xfId="0" applyAlignment="1" applyFont="1">
      <alignment horizontal="center"/>
    </xf>
    <xf borderId="0" fillId="0" fontId="23" numFmtId="0" xfId="0" applyAlignment="1" applyFont="1">
      <alignment horizontal="center"/>
    </xf>
    <xf borderId="14" fillId="7" fontId="11" numFmtId="0" xfId="0" applyAlignment="1" applyBorder="1" applyFont="1">
      <alignment horizontal="center"/>
    </xf>
    <xf borderId="0" fillId="2" fontId="12" numFmtId="0" xfId="0" applyFont="1"/>
    <xf borderId="0" fillId="2" fontId="11" numFmtId="164" xfId="0" applyAlignment="1" applyFont="1" applyNumberFormat="1">
      <alignment horizontal="right"/>
    </xf>
    <xf borderId="0" fillId="0" fontId="12" numFmtId="0" xfId="0" applyAlignment="1" applyFont="1">
      <alignment horizontal="center"/>
    </xf>
    <xf borderId="0" fillId="0" fontId="12" numFmtId="0" xfId="0" applyAlignment="1" applyFont="1">
      <alignment horizontal="center" readingOrder="0"/>
    </xf>
    <xf borderId="0" fillId="0" fontId="10" numFmtId="164" xfId="0" applyAlignment="1" applyFont="1" applyNumberFormat="1">
      <alignment horizontal="right" vertical="bottom"/>
    </xf>
    <xf borderId="0" fillId="0" fontId="11" numFmtId="0" xfId="0" applyAlignment="1" applyFont="1">
      <alignment readingOrder="0"/>
    </xf>
    <xf borderId="0" fillId="0" fontId="11" numFmtId="0" xfId="0" applyFont="1"/>
    <xf borderId="0" fillId="0" fontId="9" numFmtId="164" xfId="0" applyAlignment="1" applyFont="1" applyNumberFormat="1">
      <alignment horizontal="right"/>
    </xf>
    <xf borderId="4" fillId="0" fontId="9" numFmtId="0" xfId="0" applyAlignment="1" applyBorder="1" applyFont="1">
      <alignment horizontal="right"/>
    </xf>
    <xf borderId="0" fillId="0" fontId="14" numFmtId="4" xfId="0" applyAlignment="1" applyFont="1" applyNumberFormat="1">
      <alignment horizontal="center"/>
    </xf>
    <xf borderId="0" fillId="0" fontId="16" numFmtId="4" xfId="0" applyAlignment="1" applyFont="1" applyNumberFormat="1">
      <alignment horizontal="center"/>
    </xf>
    <xf borderId="0" fillId="0" fontId="16" numFmtId="164" xfId="0" applyAlignment="1" applyFont="1" applyNumberFormat="1">
      <alignment horizontal="right"/>
    </xf>
    <xf borderId="0" fillId="3" fontId="13" numFmtId="4" xfId="0" applyAlignment="1" applyFont="1" applyNumberFormat="1">
      <alignment horizontal="center" vertical="bottom"/>
    </xf>
    <xf borderId="0" fillId="0" fontId="12" numFmtId="4" xfId="0" applyAlignment="1" applyFont="1" applyNumberFormat="1">
      <alignment horizontal="center"/>
    </xf>
    <xf borderId="0" fillId="0" fontId="11" numFmtId="4" xfId="0" applyAlignment="1" applyFont="1" applyNumberFormat="1">
      <alignment horizontal="center"/>
    </xf>
    <xf borderId="4" fillId="7" fontId="23" numFmtId="0" xfId="0" applyBorder="1" applyFont="1"/>
    <xf borderId="18" fillId="7" fontId="23" numFmtId="0" xfId="0" applyBorder="1" applyFont="1"/>
    <xf borderId="19" fillId="7" fontId="23" numFmtId="0" xfId="0" applyBorder="1" applyFont="1"/>
    <xf borderId="8" fillId="0" fontId="9" numFmtId="0" xfId="0" applyAlignment="1" applyBorder="1" applyFont="1">
      <alignment horizontal="right"/>
    </xf>
    <xf borderId="0" fillId="0" fontId="13" numFmtId="0" xfId="0" applyAlignment="1" applyFont="1">
      <alignment horizontal="center"/>
    </xf>
    <xf borderId="0" fillId="0" fontId="24" numFmtId="164" xfId="0" applyAlignment="1" applyFont="1" applyNumberFormat="1">
      <alignment readingOrder="0"/>
    </xf>
    <xf borderId="0" fillId="0" fontId="14" numFmtId="0" xfId="0" applyFont="1"/>
    <xf borderId="0" fillId="0" fontId="16" numFmtId="0" xfId="0" applyFont="1"/>
    <xf borderId="0" fillId="0" fontId="25" numFmtId="0" xfId="0" applyAlignment="1" applyFont="1">
      <alignment readingOrder="0"/>
    </xf>
    <xf borderId="0" fillId="0" fontId="26" numFmtId="0" xfId="0" applyFont="1"/>
    <xf borderId="0" fillId="2" fontId="1" numFmtId="0" xfId="0" applyAlignment="1" applyFont="1">
      <alignment readingOrder="0"/>
    </xf>
    <xf borderId="0" fillId="2" fontId="27" numFmtId="0" xfId="0" applyFont="1"/>
    <xf borderId="0" fillId="2" fontId="27" numFmtId="0" xfId="0" applyAlignment="1" applyFont="1">
      <alignment readingOrder="0"/>
    </xf>
    <xf borderId="0" fillId="2" fontId="10" numFmtId="0" xfId="0" applyAlignment="1" applyFont="1">
      <alignment readingOrder="0"/>
    </xf>
    <xf borderId="0" fillId="0" fontId="23" numFmtId="0" xfId="0" applyFont="1"/>
    <xf borderId="0" fillId="0" fontId="13" numFmtId="0" xfId="0" applyFont="1"/>
    <xf borderId="0" fillId="7" fontId="10" numFmtId="0" xfId="0" applyAlignment="1" applyFont="1">
      <alignment readingOrder="0"/>
    </xf>
    <xf borderId="0" fillId="7" fontId="23" numFmtId="0" xfId="0" applyFont="1"/>
    <xf borderId="0" fillId="7" fontId="13" numFmtId="0" xfId="0" applyAlignment="1" applyFont="1">
      <alignment readingOrder="0"/>
    </xf>
    <xf borderId="4" fillId="4" fontId="7" numFmtId="0" xfId="0" applyAlignment="1" applyBorder="1" applyFont="1">
      <alignment vertical="bottom"/>
    </xf>
    <xf borderId="17" fillId="6" fontId="7" numFmtId="0" xfId="0" applyAlignment="1" applyBorder="1" applyFont="1">
      <alignment horizontal="right" vertical="bottom"/>
    </xf>
    <xf borderId="17" fillId="4" fontId="7" numFmtId="0" xfId="0" applyAlignment="1" applyBorder="1" applyFont="1">
      <alignment horizontal="right" vertical="bottom"/>
    </xf>
    <xf borderId="6" fillId="4" fontId="7" numFmtId="0" xfId="0" applyAlignment="1" applyBorder="1" applyFont="1">
      <alignment vertical="bottom"/>
    </xf>
    <xf borderId="20" fillId="6" fontId="7" numFmtId="0" xfId="0" applyAlignment="1" applyBorder="1" applyFont="1">
      <alignment horizontal="right" vertical="bottom"/>
    </xf>
    <xf borderId="20" fillId="4" fontId="7" numFmtId="0" xfId="0" applyAlignment="1" applyBorder="1" applyFont="1">
      <alignment horizontal="right" vertical="bottom"/>
    </xf>
    <xf borderId="8" fillId="3" fontId="10" numFmtId="0" xfId="0" applyAlignment="1" applyBorder="1" applyFont="1">
      <alignment vertical="bottom"/>
    </xf>
    <xf borderId="21" fillId="6" fontId="10" numFmtId="164" xfId="0" applyAlignment="1" applyBorder="1" applyFont="1" applyNumberFormat="1">
      <alignment horizontal="right" vertical="bottom"/>
    </xf>
    <xf borderId="21" fillId="3" fontId="10" numFmtId="164" xfId="0" applyAlignment="1" applyBorder="1" applyFont="1" applyNumberFormat="1">
      <alignment horizontal="right" vertical="bottom"/>
    </xf>
    <xf borderId="8" fillId="3" fontId="28" numFmtId="0" xfId="0" applyAlignment="1" applyBorder="1" applyFont="1">
      <alignment vertical="bottom"/>
    </xf>
    <xf borderId="21" fillId="6" fontId="13" numFmtId="164" xfId="0" applyAlignment="1" applyBorder="1" applyFont="1" applyNumberFormat="1">
      <alignment horizontal="right" vertical="bottom"/>
    </xf>
    <xf borderId="21" fillId="3" fontId="13" numFmtId="164" xfId="0" applyAlignment="1" applyBorder="1" applyFont="1" applyNumberFormat="1">
      <alignment horizontal="right" vertical="bottom"/>
    </xf>
    <xf borderId="8" fillId="3" fontId="29" numFmtId="0" xfId="0" applyAlignment="1" applyBorder="1" applyFont="1">
      <alignment vertical="bottom"/>
    </xf>
    <xf borderId="21" fillId="6" fontId="15" numFmtId="164" xfId="0" applyAlignment="1" applyBorder="1" applyFont="1" applyNumberFormat="1">
      <alignment horizontal="right" vertical="bottom"/>
    </xf>
    <xf borderId="21" fillId="3" fontId="15" numFmtId="164" xfId="0" applyAlignment="1" applyBorder="1" applyFont="1" applyNumberFormat="1">
      <alignment horizontal="right" vertical="bottom"/>
    </xf>
    <xf borderId="8" fillId="3" fontId="3" numFmtId="0" xfId="0" applyAlignment="1" applyBorder="1" applyFont="1">
      <alignment vertical="bottom"/>
    </xf>
    <xf borderId="21" fillId="6" fontId="3" numFmtId="3" xfId="0" applyAlignment="1" applyBorder="1" applyFont="1" applyNumberFormat="1">
      <alignment vertical="bottom"/>
    </xf>
    <xf borderId="21" fillId="3" fontId="3" numFmtId="3" xfId="0" applyAlignment="1" applyBorder="1" applyFont="1" applyNumberFormat="1">
      <alignment vertical="bottom"/>
    </xf>
    <xf borderId="21" fillId="6" fontId="10" numFmtId="4" xfId="0" applyAlignment="1" applyBorder="1" applyFont="1" applyNumberFormat="1">
      <alignment horizontal="right" vertical="bottom"/>
    </xf>
    <xf borderId="21" fillId="3" fontId="10" numFmtId="4" xfId="0" applyAlignment="1" applyBorder="1" applyFont="1" applyNumberFormat="1">
      <alignment horizontal="right" vertical="bottom"/>
    </xf>
    <xf borderId="21" fillId="6" fontId="13" numFmtId="3" xfId="0" applyAlignment="1" applyBorder="1" applyFont="1" applyNumberFormat="1">
      <alignment horizontal="right" vertical="bottom"/>
    </xf>
    <xf borderId="21" fillId="3" fontId="13" numFmtId="3" xfId="0" applyAlignment="1" applyBorder="1" applyFont="1" applyNumberFormat="1">
      <alignment horizontal="right" vertical="bottom"/>
    </xf>
    <xf borderId="21" fillId="6" fontId="13" numFmtId="4" xfId="0" applyAlignment="1" applyBorder="1" applyFont="1" applyNumberFormat="1">
      <alignment horizontal="right" vertical="bottom"/>
    </xf>
    <xf borderId="21" fillId="3" fontId="13" numFmtId="4" xfId="0" applyAlignment="1" applyBorder="1" applyFont="1" applyNumberFormat="1">
      <alignment horizontal="right" vertical="bottom"/>
    </xf>
    <xf borderId="6" fillId="3" fontId="28" numFmtId="0" xfId="0" applyAlignment="1" applyBorder="1" applyFont="1">
      <alignment vertical="bottom"/>
    </xf>
    <xf borderId="20" fillId="6" fontId="13" numFmtId="164" xfId="0" applyAlignment="1" applyBorder="1" applyFont="1" applyNumberFormat="1">
      <alignment horizontal="right" vertical="bottom"/>
    </xf>
    <xf borderId="20" fillId="3" fontId="13" numFmtId="164" xfId="0" applyAlignment="1" applyBorder="1" applyFont="1" applyNumberFormat="1">
      <alignment horizontal="right" vertical="bottom"/>
    </xf>
    <xf borderId="0" fillId="6" fontId="23" numFmtId="0" xfId="0" applyFont="1"/>
    <xf borderId="20" fillId="6" fontId="13" numFmtId="4" xfId="0" applyAlignment="1" applyBorder="1" applyFont="1" applyNumberFormat="1">
      <alignment horizontal="right" vertical="bottom"/>
    </xf>
    <xf borderId="20" fillId="3" fontId="13" numFmtId="4"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comparison of Income and revenue</a:t>
            </a:r>
          </a:p>
        </c:rich>
      </c:tx>
      <c:overlay val="0"/>
    </c:title>
    <c:plotArea>
      <c:layout/>
      <c:lineChart>
        <c:ser>
          <c:idx val="0"/>
          <c:order val="0"/>
          <c:tx>
            <c:v>Revenue</c:v>
          </c:tx>
          <c:spPr>
            <a:ln cmpd="sng" w="19050">
              <a:solidFill>
                <a:srgbClr val="4F81BD"/>
              </a:solidFill>
            </a:ln>
          </c:spPr>
          <c:marker>
            <c:symbol val="circle"/>
            <c:size val="2"/>
            <c:spPr>
              <a:solidFill>
                <a:srgbClr val="4F81BD"/>
              </a:solidFill>
              <a:ln cmpd="sng">
                <a:solidFill>
                  <a:srgbClr val="4F81BD"/>
                </a:solidFill>
              </a:ln>
            </c:spPr>
          </c:marker>
          <c:dLbls>
            <c:numFmt formatCode="General" sourceLinked="1"/>
            <c:txPr>
              <a:bodyPr/>
              <a:lstStyle/>
              <a:p>
                <a:pPr lvl="0">
                  <a:defRPr/>
                </a:pPr>
              </a:p>
            </c:txPr>
            <c:showLegendKey val="0"/>
            <c:showVal val="1"/>
            <c:showCatName val="0"/>
            <c:showSerName val="0"/>
            <c:showPercent val="0"/>
            <c:showBubbleSize val="0"/>
          </c:dLbls>
          <c:errBars>
            <c:errDir val="y"/>
            <c:errBarType val="both"/>
            <c:errValType val="percentage"/>
            <c:noEndCap val="0"/>
            <c:val val="10.0"/>
          </c:errBars>
          <c:val>
            <c:numRef>
              <c:f>'Vertical Analysis - Allcargo'!$C$5:$G$5</c:f>
              <c:numCache/>
            </c:numRef>
          </c:val>
          <c:smooth val="0"/>
        </c:ser>
        <c:ser>
          <c:idx val="1"/>
          <c:order val="1"/>
          <c:tx>
            <c:v>Income </c:v>
          </c:tx>
          <c:spPr>
            <a:ln cmpd="sng" w="19050">
              <a:solidFill>
                <a:srgbClr val="C0504D"/>
              </a:solidFill>
            </a:ln>
          </c:spPr>
          <c:marker>
            <c:symbol val="circle"/>
            <c:size val="2"/>
            <c:spPr>
              <a:solidFill>
                <a:srgbClr val="C0504D"/>
              </a:solidFill>
              <a:ln cmpd="sng">
                <a:solidFill>
                  <a:srgbClr val="C0504D"/>
                </a:solidFill>
              </a:ln>
            </c:spPr>
          </c:marker>
          <c:dLbls>
            <c:numFmt formatCode="General" sourceLinked="1"/>
            <c:txPr>
              <a:bodyPr/>
              <a:lstStyle/>
              <a:p>
                <a:pPr lvl="0">
                  <a:defRPr/>
                </a:pPr>
              </a:p>
            </c:txPr>
            <c:showLegendKey val="0"/>
            <c:showVal val="1"/>
            <c:showCatName val="0"/>
            <c:showSerName val="0"/>
            <c:showPercent val="0"/>
            <c:showBubbleSize val="0"/>
          </c:dLbls>
          <c:val>
            <c:numRef>
              <c:f>'Vertical Analysis - Allcargo'!$C$50:$G$50</c:f>
              <c:numCache/>
            </c:numRef>
          </c:val>
          <c:smooth val="0"/>
        </c:ser>
        <c:axId val="414110413"/>
        <c:axId val="56394101"/>
      </c:lineChart>
      <c:catAx>
        <c:axId val="4141104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12 Months Ending</a:t>
                </a:r>
              </a:p>
            </c:rich>
          </c:tx>
          <c:overlay val="0"/>
        </c:title>
        <c:numFmt formatCode="General" sourceLinked="1"/>
        <c:majorTickMark val="cross"/>
        <c:minorTickMark val="none"/>
        <c:spPr/>
        <c:txPr>
          <a:bodyPr/>
          <a:lstStyle/>
          <a:p>
            <a:pPr lvl="0">
              <a:defRPr b="0">
                <a:solidFill>
                  <a:srgbClr val="000000"/>
                </a:solidFill>
                <a:latin typeface="+mn-lt"/>
              </a:defRPr>
            </a:pPr>
          </a:p>
        </c:txPr>
        <c:crossAx val="56394101"/>
      </c:catAx>
      <c:valAx>
        <c:axId val="563941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03/31/2022</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4110413"/>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Ratios</a:t>
            </a:r>
          </a:p>
        </c:rich>
      </c:tx>
      <c:overlay val="0"/>
    </c:title>
    <c:plotArea>
      <c:layout/>
      <c:lineChart>
        <c:ser>
          <c:idx val="0"/>
          <c:order val="0"/>
          <c:tx>
            <c:strRef>
              <c:f>'Ratio Analysis '!$A$3:$B$3</c:f>
            </c:strRef>
          </c:tx>
          <c:spPr>
            <a:ln cmpd="sng">
              <a:solidFill>
                <a:srgbClr val="4F81BD"/>
              </a:solidFill>
            </a:ln>
          </c:spPr>
          <c:marker>
            <c:symbol val="none"/>
          </c:marker>
          <c:cat>
            <c:strRef>
              <c:f>'Ratio Analysis '!$C$2:$G$2</c:f>
            </c:strRef>
          </c:cat>
          <c:val>
            <c:numRef>
              <c:f>'Ratio Analysis '!$C$3:$G$3</c:f>
              <c:numCache/>
            </c:numRef>
          </c:val>
          <c:smooth val="0"/>
        </c:ser>
        <c:ser>
          <c:idx val="1"/>
          <c:order val="1"/>
          <c:tx>
            <c:strRef>
              <c:f>'Ratio Analysis '!$A$4:$B$4</c:f>
            </c:strRef>
          </c:tx>
          <c:spPr>
            <a:ln cmpd="sng">
              <a:solidFill>
                <a:srgbClr val="C0504D"/>
              </a:solidFill>
            </a:ln>
          </c:spPr>
          <c:marker>
            <c:symbol val="none"/>
          </c:marker>
          <c:cat>
            <c:strRef>
              <c:f>'Ratio Analysis '!$C$2:$G$2</c:f>
            </c:strRef>
          </c:cat>
          <c:val>
            <c:numRef>
              <c:f>'Ratio Analysis '!$C$4:$G$4</c:f>
              <c:numCache/>
            </c:numRef>
          </c:val>
          <c:smooth val="0"/>
        </c:ser>
        <c:ser>
          <c:idx val="2"/>
          <c:order val="2"/>
          <c:tx>
            <c:strRef>
              <c:f>'Ratio Analysis '!$A$5:$B$5</c:f>
            </c:strRef>
          </c:tx>
          <c:spPr>
            <a:ln cmpd="sng">
              <a:solidFill>
                <a:srgbClr val="9BBB59"/>
              </a:solidFill>
            </a:ln>
          </c:spPr>
          <c:marker>
            <c:symbol val="none"/>
          </c:marker>
          <c:cat>
            <c:strRef>
              <c:f>'Ratio Analysis '!$C$2:$G$2</c:f>
            </c:strRef>
          </c:cat>
          <c:val>
            <c:numRef>
              <c:f>'Ratio Analysis '!$C$5:$G$5</c:f>
              <c:numCache/>
            </c:numRef>
          </c:val>
          <c:smooth val="0"/>
        </c:ser>
        <c:axId val="1389035184"/>
        <c:axId val="2067184433"/>
      </c:lineChart>
      <c:catAx>
        <c:axId val="13890351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Liquidity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2067184433"/>
      </c:catAx>
      <c:valAx>
        <c:axId val="20671844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903518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Cash Ratio</a:t>
            </a:r>
          </a:p>
        </c:rich>
      </c:tx>
      <c:overlay val="0"/>
    </c:title>
    <c:plotArea>
      <c:layout/>
      <c:lineChart>
        <c:ser>
          <c:idx val="0"/>
          <c:order val="0"/>
          <c:tx>
            <c:strRef>
              <c:f>'Ratio Analysis '!$A$10:$B$10</c:f>
            </c:strRef>
          </c:tx>
          <c:spPr>
            <a:ln cmpd="sng">
              <a:solidFill>
                <a:srgbClr val="4F81BD"/>
              </a:solidFill>
            </a:ln>
          </c:spPr>
          <c:marker>
            <c:symbol val="none"/>
          </c:marker>
          <c:cat>
            <c:strRef>
              <c:f>'Ratio Analysis '!$C$9:$G$9</c:f>
            </c:strRef>
          </c:cat>
          <c:val>
            <c:numRef>
              <c:f>'Ratio Analysis '!$C$10:$G$10</c:f>
              <c:numCache/>
            </c:numRef>
          </c:val>
          <c:smooth val="0"/>
        </c:ser>
        <c:ser>
          <c:idx val="1"/>
          <c:order val="1"/>
          <c:tx>
            <c:strRef>
              <c:f>'Ratio Analysis '!$A$11:$B$11</c:f>
            </c:strRef>
          </c:tx>
          <c:spPr>
            <a:ln cmpd="sng">
              <a:solidFill>
                <a:srgbClr val="C0504D"/>
              </a:solidFill>
            </a:ln>
          </c:spPr>
          <c:marker>
            <c:symbol val="none"/>
          </c:marker>
          <c:cat>
            <c:strRef>
              <c:f>'Ratio Analysis '!$C$9:$G$9</c:f>
            </c:strRef>
          </c:cat>
          <c:val>
            <c:numRef>
              <c:f>'Ratio Analysis '!$C$11:$G$11</c:f>
              <c:numCache/>
            </c:numRef>
          </c:val>
          <c:smooth val="0"/>
        </c:ser>
        <c:ser>
          <c:idx val="2"/>
          <c:order val="2"/>
          <c:tx>
            <c:strRef>
              <c:f>'Ratio Analysis '!$A$12:$B$12</c:f>
            </c:strRef>
          </c:tx>
          <c:spPr>
            <a:ln cmpd="sng">
              <a:solidFill>
                <a:srgbClr val="9BBB59"/>
              </a:solidFill>
            </a:ln>
          </c:spPr>
          <c:marker>
            <c:symbol val="none"/>
          </c:marker>
          <c:cat>
            <c:strRef>
              <c:f>'Ratio Analysis '!$C$9:$G$9</c:f>
            </c:strRef>
          </c:cat>
          <c:val>
            <c:numRef>
              <c:f>'Ratio Analysis '!$C$12:$G$12</c:f>
              <c:numCache/>
            </c:numRef>
          </c:val>
          <c:smooth val="0"/>
        </c:ser>
        <c:axId val="1845946527"/>
        <c:axId val="2020034420"/>
      </c:lineChart>
      <c:catAx>
        <c:axId val="1845946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Liquidity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2020034420"/>
      </c:catAx>
      <c:valAx>
        <c:axId val="2020034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594652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Debt to asset ratio</a:t>
            </a:r>
          </a:p>
        </c:rich>
      </c:tx>
      <c:overlay val="0"/>
    </c:title>
    <c:plotArea>
      <c:layout/>
      <c:lineChart>
        <c:ser>
          <c:idx val="0"/>
          <c:order val="0"/>
          <c:tx>
            <c:strRef>
              <c:f>'Ratio Analysis '!$A$18:$B$18</c:f>
            </c:strRef>
          </c:tx>
          <c:spPr>
            <a:ln cmpd="sng">
              <a:solidFill>
                <a:srgbClr val="4F81BD"/>
              </a:solidFill>
            </a:ln>
          </c:spPr>
          <c:marker>
            <c:symbol val="none"/>
          </c:marker>
          <c:cat>
            <c:strRef>
              <c:f>'Ratio Analysis '!$C$17:$G$17</c:f>
            </c:strRef>
          </c:cat>
          <c:val>
            <c:numRef>
              <c:f>'Ratio Analysis '!$C$18:$G$18</c:f>
              <c:numCache/>
            </c:numRef>
          </c:val>
          <c:smooth val="0"/>
        </c:ser>
        <c:ser>
          <c:idx val="1"/>
          <c:order val="1"/>
          <c:tx>
            <c:strRef>
              <c:f>'Ratio Analysis '!$A$19:$B$19</c:f>
            </c:strRef>
          </c:tx>
          <c:spPr>
            <a:ln cmpd="sng">
              <a:solidFill>
                <a:srgbClr val="C0504D"/>
              </a:solidFill>
            </a:ln>
          </c:spPr>
          <c:marker>
            <c:symbol val="none"/>
          </c:marker>
          <c:cat>
            <c:strRef>
              <c:f>'Ratio Analysis '!$C$17:$G$17</c:f>
            </c:strRef>
          </c:cat>
          <c:val>
            <c:numRef>
              <c:f>'Ratio Analysis '!$C$19:$G$19</c:f>
              <c:numCache/>
            </c:numRef>
          </c:val>
          <c:smooth val="0"/>
        </c:ser>
        <c:ser>
          <c:idx val="2"/>
          <c:order val="2"/>
          <c:tx>
            <c:strRef>
              <c:f>'Ratio Analysis '!$A$20:$B$20</c:f>
            </c:strRef>
          </c:tx>
          <c:spPr>
            <a:ln cmpd="sng">
              <a:solidFill>
                <a:srgbClr val="9BBB59"/>
              </a:solidFill>
            </a:ln>
          </c:spPr>
          <c:marker>
            <c:symbol val="none"/>
          </c:marker>
          <c:cat>
            <c:strRef>
              <c:f>'Ratio Analysis '!$C$17:$G$17</c:f>
            </c:strRef>
          </c:cat>
          <c:val>
            <c:numRef>
              <c:f>'Ratio Analysis '!$C$20:$G$20</c:f>
              <c:numCache/>
            </c:numRef>
          </c:val>
          <c:smooth val="0"/>
        </c:ser>
        <c:axId val="1698045782"/>
        <c:axId val="752083809"/>
      </c:lineChart>
      <c:catAx>
        <c:axId val="1698045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Leverage Financial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752083809"/>
      </c:catAx>
      <c:valAx>
        <c:axId val="752083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804578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Debt to Equity Ratio</a:t>
            </a:r>
          </a:p>
        </c:rich>
      </c:tx>
      <c:overlay val="0"/>
    </c:title>
    <c:plotArea>
      <c:layout/>
      <c:lineChart>
        <c:ser>
          <c:idx val="0"/>
          <c:order val="0"/>
          <c:tx>
            <c:strRef>
              <c:f>'Ratio Analysis '!$A$24:$B$24</c:f>
            </c:strRef>
          </c:tx>
          <c:spPr>
            <a:ln cmpd="sng">
              <a:solidFill>
                <a:srgbClr val="4F81BD"/>
              </a:solidFill>
            </a:ln>
          </c:spPr>
          <c:marker>
            <c:symbol val="none"/>
          </c:marker>
          <c:cat>
            <c:strRef>
              <c:f>'Ratio Analysis '!$C$23:$G$23</c:f>
            </c:strRef>
          </c:cat>
          <c:val>
            <c:numRef>
              <c:f>'Ratio Analysis '!$C$24:$G$24</c:f>
              <c:numCache/>
            </c:numRef>
          </c:val>
          <c:smooth val="0"/>
        </c:ser>
        <c:ser>
          <c:idx val="1"/>
          <c:order val="1"/>
          <c:tx>
            <c:strRef>
              <c:f>'Ratio Analysis '!$A$25:$B$25</c:f>
            </c:strRef>
          </c:tx>
          <c:spPr>
            <a:ln cmpd="sng">
              <a:solidFill>
                <a:srgbClr val="C0504D"/>
              </a:solidFill>
            </a:ln>
          </c:spPr>
          <c:marker>
            <c:symbol val="none"/>
          </c:marker>
          <c:cat>
            <c:strRef>
              <c:f>'Ratio Analysis '!$C$23:$G$23</c:f>
            </c:strRef>
          </c:cat>
          <c:val>
            <c:numRef>
              <c:f>'Ratio Analysis '!$C$25:$G$25</c:f>
              <c:numCache/>
            </c:numRef>
          </c:val>
          <c:smooth val="0"/>
        </c:ser>
        <c:ser>
          <c:idx val="2"/>
          <c:order val="2"/>
          <c:tx>
            <c:strRef>
              <c:f>'Ratio Analysis '!$A$26:$B$26</c:f>
            </c:strRef>
          </c:tx>
          <c:spPr>
            <a:ln cmpd="sng">
              <a:solidFill>
                <a:srgbClr val="9BBB59"/>
              </a:solidFill>
            </a:ln>
          </c:spPr>
          <c:marker>
            <c:symbol val="none"/>
          </c:marker>
          <c:cat>
            <c:strRef>
              <c:f>'Ratio Analysis '!$C$23:$G$23</c:f>
            </c:strRef>
          </c:cat>
          <c:val>
            <c:numRef>
              <c:f>'Ratio Analysis '!$C$26:$G$26</c:f>
              <c:numCache/>
            </c:numRef>
          </c:val>
          <c:smooth val="0"/>
        </c:ser>
        <c:axId val="1152715362"/>
        <c:axId val="1666486792"/>
      </c:lineChart>
      <c:catAx>
        <c:axId val="11527153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Leverage Financial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1666486792"/>
      </c:catAx>
      <c:valAx>
        <c:axId val="16664867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271536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Asset Turnover Ratio</a:t>
            </a:r>
          </a:p>
        </c:rich>
      </c:tx>
      <c:overlay val="0"/>
    </c:title>
    <c:plotArea>
      <c:layout/>
      <c:lineChart>
        <c:ser>
          <c:idx val="0"/>
          <c:order val="0"/>
          <c:tx>
            <c:strRef>
              <c:f>'Ratio Analysis '!$A$31:$B$31</c:f>
            </c:strRef>
          </c:tx>
          <c:spPr>
            <a:ln cmpd="sng">
              <a:solidFill>
                <a:srgbClr val="4F81BD"/>
              </a:solidFill>
            </a:ln>
          </c:spPr>
          <c:marker>
            <c:symbol val="none"/>
          </c:marker>
          <c:cat>
            <c:strRef>
              <c:f>'Ratio Analysis '!$C$30:$G$30</c:f>
            </c:strRef>
          </c:cat>
          <c:val>
            <c:numRef>
              <c:f>'Ratio Analysis '!$C$31:$G$31</c:f>
              <c:numCache/>
            </c:numRef>
          </c:val>
          <c:smooth val="0"/>
        </c:ser>
        <c:ser>
          <c:idx val="1"/>
          <c:order val="1"/>
          <c:tx>
            <c:strRef>
              <c:f>'Ratio Analysis '!$A$32:$B$32</c:f>
            </c:strRef>
          </c:tx>
          <c:spPr>
            <a:ln cmpd="sng">
              <a:solidFill>
                <a:srgbClr val="C0504D"/>
              </a:solidFill>
            </a:ln>
          </c:spPr>
          <c:marker>
            <c:symbol val="none"/>
          </c:marker>
          <c:cat>
            <c:strRef>
              <c:f>'Ratio Analysis '!$C$30:$G$30</c:f>
            </c:strRef>
          </c:cat>
          <c:val>
            <c:numRef>
              <c:f>'Ratio Analysis '!$C$32:$G$32</c:f>
              <c:numCache/>
            </c:numRef>
          </c:val>
          <c:smooth val="0"/>
        </c:ser>
        <c:ser>
          <c:idx val="2"/>
          <c:order val="2"/>
          <c:tx>
            <c:strRef>
              <c:f>'Ratio Analysis '!$A$33:$B$33</c:f>
            </c:strRef>
          </c:tx>
          <c:spPr>
            <a:ln cmpd="sng">
              <a:solidFill>
                <a:srgbClr val="9BBB59"/>
              </a:solidFill>
            </a:ln>
          </c:spPr>
          <c:marker>
            <c:symbol val="none"/>
          </c:marker>
          <c:cat>
            <c:strRef>
              <c:f>'Ratio Analysis '!$C$30:$G$30</c:f>
            </c:strRef>
          </c:cat>
          <c:val>
            <c:numRef>
              <c:f>'Ratio Analysis '!$C$33:$G$33</c:f>
              <c:numCache/>
            </c:numRef>
          </c:val>
          <c:smooth val="0"/>
        </c:ser>
        <c:axId val="638995013"/>
        <c:axId val="1721153926"/>
      </c:lineChart>
      <c:catAx>
        <c:axId val="6389950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Efficiency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1721153926"/>
      </c:catAx>
      <c:valAx>
        <c:axId val="17211539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899501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Inventory Turnover ratio</a:t>
            </a:r>
          </a:p>
        </c:rich>
      </c:tx>
      <c:overlay val="0"/>
    </c:title>
    <c:plotArea>
      <c:layout/>
      <c:lineChart>
        <c:ser>
          <c:idx val="0"/>
          <c:order val="0"/>
          <c:tx>
            <c:strRef>
              <c:f>'Ratio Analysis '!$A$36:$B$36</c:f>
            </c:strRef>
          </c:tx>
          <c:spPr>
            <a:ln cmpd="sng">
              <a:solidFill>
                <a:srgbClr val="4F81BD"/>
              </a:solidFill>
            </a:ln>
          </c:spPr>
          <c:marker>
            <c:symbol val="none"/>
          </c:marker>
          <c:cat>
            <c:strRef>
              <c:f>'Ratio Analysis '!$C$35:$G$35</c:f>
            </c:strRef>
          </c:cat>
          <c:val>
            <c:numRef>
              <c:f>'Ratio Analysis '!$C$36:$G$36</c:f>
              <c:numCache/>
            </c:numRef>
          </c:val>
          <c:smooth val="0"/>
        </c:ser>
        <c:ser>
          <c:idx val="1"/>
          <c:order val="1"/>
          <c:tx>
            <c:strRef>
              <c:f>'Ratio Analysis '!$A$37:$B$37</c:f>
            </c:strRef>
          </c:tx>
          <c:spPr>
            <a:ln cmpd="sng">
              <a:solidFill>
                <a:srgbClr val="C0504D"/>
              </a:solidFill>
            </a:ln>
          </c:spPr>
          <c:marker>
            <c:symbol val="none"/>
          </c:marker>
          <c:cat>
            <c:strRef>
              <c:f>'Ratio Analysis '!$C$35:$G$35</c:f>
            </c:strRef>
          </c:cat>
          <c:val>
            <c:numRef>
              <c:f>'Ratio Analysis '!$C$37:$G$37</c:f>
              <c:numCache/>
            </c:numRef>
          </c:val>
          <c:smooth val="0"/>
        </c:ser>
        <c:ser>
          <c:idx val="2"/>
          <c:order val="2"/>
          <c:tx>
            <c:strRef>
              <c:f>'Ratio Analysis '!$A$38:$B$38</c:f>
            </c:strRef>
          </c:tx>
          <c:spPr>
            <a:ln cmpd="sng">
              <a:solidFill>
                <a:srgbClr val="9BBB59"/>
              </a:solidFill>
            </a:ln>
          </c:spPr>
          <c:marker>
            <c:symbol val="none"/>
          </c:marker>
          <c:cat>
            <c:strRef>
              <c:f>'Ratio Analysis '!$C$35:$G$35</c:f>
            </c:strRef>
          </c:cat>
          <c:val>
            <c:numRef>
              <c:f>'Ratio Analysis '!$C$38:$G$38</c:f>
              <c:numCache/>
            </c:numRef>
          </c:val>
          <c:smooth val="0"/>
        </c:ser>
        <c:axId val="1704533996"/>
        <c:axId val="874561950"/>
      </c:lineChart>
      <c:catAx>
        <c:axId val="17045339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Efficiency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874561950"/>
      </c:catAx>
      <c:valAx>
        <c:axId val="8745619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453399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Receivables turnover data</a:t>
            </a:r>
          </a:p>
        </c:rich>
      </c:tx>
      <c:overlay val="0"/>
    </c:title>
    <c:plotArea>
      <c:layout/>
      <c:lineChart>
        <c:ser>
          <c:idx val="0"/>
          <c:order val="0"/>
          <c:tx>
            <c:strRef>
              <c:f>'Ratio Analysis '!$A$41:$B$41</c:f>
            </c:strRef>
          </c:tx>
          <c:spPr>
            <a:ln cmpd="sng">
              <a:solidFill>
                <a:srgbClr val="4F81BD"/>
              </a:solidFill>
            </a:ln>
          </c:spPr>
          <c:marker>
            <c:symbol val="none"/>
          </c:marker>
          <c:cat>
            <c:strRef>
              <c:f>'Ratio Analysis '!$C$40:$G$40</c:f>
            </c:strRef>
          </c:cat>
          <c:val>
            <c:numRef>
              <c:f>'Ratio Analysis '!$C$41:$G$41</c:f>
              <c:numCache/>
            </c:numRef>
          </c:val>
          <c:smooth val="0"/>
        </c:ser>
        <c:ser>
          <c:idx val="1"/>
          <c:order val="1"/>
          <c:tx>
            <c:strRef>
              <c:f>'Ratio Analysis '!$A$42:$B$42</c:f>
            </c:strRef>
          </c:tx>
          <c:spPr>
            <a:ln cmpd="sng">
              <a:solidFill>
                <a:srgbClr val="C0504D"/>
              </a:solidFill>
            </a:ln>
          </c:spPr>
          <c:marker>
            <c:symbol val="none"/>
          </c:marker>
          <c:cat>
            <c:strRef>
              <c:f>'Ratio Analysis '!$C$40:$G$40</c:f>
            </c:strRef>
          </c:cat>
          <c:val>
            <c:numRef>
              <c:f>'Ratio Analysis '!$C$42:$G$42</c:f>
              <c:numCache/>
            </c:numRef>
          </c:val>
          <c:smooth val="0"/>
        </c:ser>
        <c:axId val="681145089"/>
        <c:axId val="1636461792"/>
      </c:lineChart>
      <c:catAx>
        <c:axId val="6811450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Efficiency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1636461792"/>
      </c:catAx>
      <c:valAx>
        <c:axId val="16364617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1145089"/>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Operating margin</a:t>
            </a:r>
          </a:p>
        </c:rich>
      </c:tx>
      <c:overlay val="0"/>
    </c:title>
    <c:plotArea>
      <c:layout/>
      <c:lineChart>
        <c:ser>
          <c:idx val="0"/>
          <c:order val="0"/>
          <c:tx>
            <c:strRef>
              <c:f>'Ratio Analysis '!$A$47:$B$47</c:f>
            </c:strRef>
          </c:tx>
          <c:spPr>
            <a:ln cmpd="sng">
              <a:solidFill>
                <a:srgbClr val="4F81BD"/>
              </a:solidFill>
            </a:ln>
          </c:spPr>
          <c:marker>
            <c:symbol val="none"/>
          </c:marker>
          <c:cat>
            <c:strRef>
              <c:f>'Ratio Analysis '!$C$46:$G$46</c:f>
            </c:strRef>
          </c:cat>
          <c:val>
            <c:numRef>
              <c:f>'Ratio Analysis '!$C$47:$G$47</c:f>
              <c:numCache/>
            </c:numRef>
          </c:val>
          <c:smooth val="0"/>
        </c:ser>
        <c:ser>
          <c:idx val="1"/>
          <c:order val="1"/>
          <c:tx>
            <c:strRef>
              <c:f>'Ratio Analysis '!$A$48:$B$48</c:f>
            </c:strRef>
          </c:tx>
          <c:spPr>
            <a:ln cmpd="sng">
              <a:solidFill>
                <a:srgbClr val="C0504D"/>
              </a:solidFill>
            </a:ln>
          </c:spPr>
          <c:marker>
            <c:symbol val="none"/>
          </c:marker>
          <c:cat>
            <c:strRef>
              <c:f>'Ratio Analysis '!$C$46:$G$46</c:f>
            </c:strRef>
          </c:cat>
          <c:val>
            <c:numRef>
              <c:f>'Ratio Analysis '!$C$48:$G$48</c:f>
              <c:numCache/>
            </c:numRef>
          </c:val>
          <c:smooth val="0"/>
        </c:ser>
        <c:ser>
          <c:idx val="2"/>
          <c:order val="2"/>
          <c:tx>
            <c:strRef>
              <c:f>'Ratio Analysis '!$A$49:$B$49</c:f>
            </c:strRef>
          </c:tx>
          <c:spPr>
            <a:ln cmpd="sng">
              <a:solidFill>
                <a:srgbClr val="9BBB59"/>
              </a:solidFill>
            </a:ln>
          </c:spPr>
          <c:marker>
            <c:symbol val="none"/>
          </c:marker>
          <c:cat>
            <c:strRef>
              <c:f>'Ratio Analysis '!$C$46:$G$46</c:f>
            </c:strRef>
          </c:cat>
          <c:val>
            <c:numRef>
              <c:f>'Ratio Analysis '!$C$49:$G$49</c:f>
              <c:numCache/>
            </c:numRef>
          </c:val>
          <c:smooth val="0"/>
        </c:ser>
        <c:axId val="2134643823"/>
        <c:axId val="451732426"/>
      </c:lineChart>
      <c:catAx>
        <c:axId val="21346438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Profitability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451732426"/>
      </c:catAx>
      <c:valAx>
        <c:axId val="4517324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464382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Net Profit Margin</a:t>
            </a:r>
          </a:p>
        </c:rich>
      </c:tx>
      <c:overlay val="0"/>
    </c:title>
    <c:plotArea>
      <c:layout/>
      <c:lineChart>
        <c:ser>
          <c:idx val="0"/>
          <c:order val="0"/>
          <c:tx>
            <c:strRef>
              <c:f>'Ratio Analysis '!$A$53:$B$53</c:f>
            </c:strRef>
          </c:tx>
          <c:spPr>
            <a:ln cmpd="sng">
              <a:solidFill>
                <a:srgbClr val="4F81BD"/>
              </a:solidFill>
            </a:ln>
          </c:spPr>
          <c:marker>
            <c:symbol val="none"/>
          </c:marker>
          <c:cat>
            <c:strRef>
              <c:f>'Ratio Analysis '!$C$52:$G$52</c:f>
            </c:strRef>
          </c:cat>
          <c:val>
            <c:numRef>
              <c:f>'Ratio Analysis '!$C$53:$G$53</c:f>
              <c:numCache/>
            </c:numRef>
          </c:val>
          <c:smooth val="0"/>
        </c:ser>
        <c:ser>
          <c:idx val="1"/>
          <c:order val="1"/>
          <c:tx>
            <c:strRef>
              <c:f>'Ratio Analysis '!$A$54:$B$54</c:f>
            </c:strRef>
          </c:tx>
          <c:spPr>
            <a:ln cmpd="sng">
              <a:solidFill>
                <a:srgbClr val="C0504D"/>
              </a:solidFill>
            </a:ln>
          </c:spPr>
          <c:marker>
            <c:symbol val="none"/>
          </c:marker>
          <c:cat>
            <c:strRef>
              <c:f>'Ratio Analysis '!$C$52:$G$52</c:f>
            </c:strRef>
          </c:cat>
          <c:val>
            <c:numRef>
              <c:f>'Ratio Analysis '!$C$54:$G$54</c:f>
              <c:numCache/>
            </c:numRef>
          </c:val>
          <c:smooth val="0"/>
        </c:ser>
        <c:ser>
          <c:idx val="2"/>
          <c:order val="2"/>
          <c:tx>
            <c:strRef>
              <c:f>'Ratio Analysis '!$A$55:$B$55</c:f>
            </c:strRef>
          </c:tx>
          <c:spPr>
            <a:ln cmpd="sng">
              <a:solidFill>
                <a:srgbClr val="9BBB59"/>
              </a:solidFill>
            </a:ln>
          </c:spPr>
          <c:marker>
            <c:symbol val="none"/>
          </c:marker>
          <c:cat>
            <c:strRef>
              <c:f>'Ratio Analysis '!$C$52:$G$52</c:f>
            </c:strRef>
          </c:cat>
          <c:val>
            <c:numRef>
              <c:f>'Ratio Analysis '!$C$55:$G$55</c:f>
              <c:numCache/>
            </c:numRef>
          </c:val>
          <c:smooth val="0"/>
        </c:ser>
        <c:axId val="772408446"/>
        <c:axId val="1098181029"/>
      </c:lineChart>
      <c:catAx>
        <c:axId val="7724084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Profitability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1098181029"/>
      </c:catAx>
      <c:valAx>
        <c:axId val="1098181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2408446"/>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ROE(%)</a:t>
            </a:r>
          </a:p>
        </c:rich>
      </c:tx>
      <c:overlay val="0"/>
    </c:title>
    <c:plotArea>
      <c:layout/>
      <c:lineChart>
        <c:ser>
          <c:idx val="0"/>
          <c:order val="0"/>
          <c:tx>
            <c:strRef>
              <c:f>'Ratio Analysis '!$A$59:$B$59</c:f>
            </c:strRef>
          </c:tx>
          <c:spPr>
            <a:ln cmpd="sng">
              <a:solidFill>
                <a:srgbClr val="4F81BD"/>
              </a:solidFill>
            </a:ln>
          </c:spPr>
          <c:marker>
            <c:symbol val="none"/>
          </c:marker>
          <c:cat>
            <c:strRef>
              <c:f>'Ratio Analysis '!$C$58:$G$58</c:f>
            </c:strRef>
          </c:cat>
          <c:val>
            <c:numRef>
              <c:f>'Ratio Analysis '!$C$59:$G$59</c:f>
              <c:numCache/>
            </c:numRef>
          </c:val>
          <c:smooth val="0"/>
        </c:ser>
        <c:ser>
          <c:idx val="1"/>
          <c:order val="1"/>
          <c:tx>
            <c:strRef>
              <c:f>'Ratio Analysis '!$A$60:$B$60</c:f>
            </c:strRef>
          </c:tx>
          <c:spPr>
            <a:ln cmpd="sng">
              <a:solidFill>
                <a:srgbClr val="C0504D"/>
              </a:solidFill>
            </a:ln>
          </c:spPr>
          <c:marker>
            <c:symbol val="none"/>
          </c:marker>
          <c:cat>
            <c:strRef>
              <c:f>'Ratio Analysis '!$C$58:$G$58</c:f>
            </c:strRef>
          </c:cat>
          <c:val>
            <c:numRef>
              <c:f>'Ratio Analysis '!$C$60:$G$60</c:f>
              <c:numCache/>
            </c:numRef>
          </c:val>
          <c:smooth val="0"/>
        </c:ser>
        <c:ser>
          <c:idx val="2"/>
          <c:order val="2"/>
          <c:tx>
            <c:strRef>
              <c:f>'Ratio Analysis '!$A$61:$B$61</c:f>
            </c:strRef>
          </c:tx>
          <c:spPr>
            <a:ln cmpd="sng">
              <a:solidFill>
                <a:srgbClr val="9BBB59"/>
              </a:solidFill>
            </a:ln>
          </c:spPr>
          <c:marker>
            <c:symbol val="none"/>
          </c:marker>
          <c:cat>
            <c:strRef>
              <c:f>'Ratio Analysis '!$C$58:$G$58</c:f>
            </c:strRef>
          </c:cat>
          <c:val>
            <c:numRef>
              <c:f>'Ratio Analysis '!$C$61:$G$61</c:f>
              <c:numCache/>
            </c:numRef>
          </c:val>
          <c:smooth val="0"/>
        </c:ser>
        <c:axId val="1691475148"/>
        <c:axId val="725268444"/>
      </c:lineChart>
      <c:catAx>
        <c:axId val="16914751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Profitability ratios</a:t>
                </a:r>
              </a:p>
            </c:rich>
          </c:tx>
          <c:overlay val="0"/>
        </c:title>
        <c:numFmt formatCode="General" sourceLinked="1"/>
        <c:majorTickMark val="none"/>
        <c:minorTickMark val="none"/>
        <c:spPr/>
        <c:txPr>
          <a:bodyPr/>
          <a:lstStyle/>
          <a:p>
            <a:pPr lvl="0">
              <a:defRPr b="0">
                <a:solidFill>
                  <a:srgbClr val="000000"/>
                </a:solidFill>
                <a:latin typeface="+mn-lt"/>
              </a:defRPr>
            </a:pPr>
          </a:p>
        </c:txPr>
        <c:crossAx val="725268444"/>
      </c:catAx>
      <c:valAx>
        <c:axId val="7252684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1475148"/>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10" Type="http://schemas.openxmlformats.org/officeDocument/2006/relationships/chart" Target="../charts/chart11.xml"/><Relationship Id="rId9" Type="http://schemas.openxmlformats.org/officeDocument/2006/relationships/chart" Target="../charts/chart10.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9525</xdr:colOff>
      <xdr:row>2</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133350</xdr:colOff>
      <xdr:row>0</xdr:row>
      <xdr:rowOff>0</xdr:rowOff>
    </xdr:from>
    <xdr:ext cx="4114800" cy="28384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257175</xdr:colOff>
      <xdr:row>0</xdr:row>
      <xdr:rowOff>0</xdr:rowOff>
    </xdr:from>
    <xdr:ext cx="4114800" cy="283845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133350</xdr:colOff>
      <xdr:row>15</xdr:row>
      <xdr:rowOff>9525</xdr:rowOff>
    </xdr:from>
    <xdr:ext cx="4114800" cy="281940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257175</xdr:colOff>
      <xdr:row>15</xdr:row>
      <xdr:rowOff>9525</xdr:rowOff>
    </xdr:from>
    <xdr:ext cx="4114800" cy="2819400"/>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133350</xdr:colOff>
      <xdr:row>28</xdr:row>
      <xdr:rowOff>19050</xdr:rowOff>
    </xdr:from>
    <xdr:ext cx="3686175" cy="22764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590550</xdr:colOff>
      <xdr:row>28</xdr:row>
      <xdr:rowOff>57150</xdr:rowOff>
    </xdr:from>
    <xdr:ext cx="3686175" cy="22383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15</xdr:col>
      <xdr:colOff>447675</xdr:colOff>
      <xdr:row>28</xdr:row>
      <xdr:rowOff>57150</xdr:rowOff>
    </xdr:from>
    <xdr:ext cx="3686175" cy="22383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133350</xdr:colOff>
      <xdr:row>44</xdr:row>
      <xdr:rowOff>161925</xdr:rowOff>
    </xdr:from>
    <xdr:ext cx="4010025" cy="2476500"/>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11</xdr:col>
      <xdr:colOff>161925</xdr:colOff>
      <xdr:row>44</xdr:row>
      <xdr:rowOff>161925</xdr:rowOff>
    </xdr:from>
    <xdr:ext cx="4057650" cy="2476500"/>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16</xdr:col>
      <xdr:colOff>438150</xdr:colOff>
      <xdr:row>44</xdr:row>
      <xdr:rowOff>161925</xdr:rowOff>
    </xdr:from>
    <xdr:ext cx="4010025" cy="2476500"/>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1" t="s">
        <v>0</v>
      </c>
      <c r="C2" s="1" t="s">
        <v>1</v>
      </c>
    </row>
    <row r="3">
      <c r="B3" s="1" t="s">
        <v>2</v>
      </c>
      <c r="C3" s="1" t="s">
        <v>3</v>
      </c>
    </row>
    <row r="4">
      <c r="B4" s="1" t="s">
        <v>4</v>
      </c>
      <c r="C4" s="1"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7" width="11.86"/>
    <col customWidth="1" min="8" max="8" width="8.71"/>
    <col customWidth="1" min="10" max="10" width="40.57"/>
    <col customWidth="1" min="11" max="11" width="13.29"/>
    <col customWidth="1" min="12" max="12" width="10.71"/>
    <col customWidth="1" min="13" max="13" width="12.0"/>
    <col customWidth="1" min="14" max="14" width="10.29"/>
    <col customWidth="1" min="15" max="17" width="11.0"/>
  </cols>
  <sheetData>
    <row r="1">
      <c r="A1" s="2" t="s">
        <v>6</v>
      </c>
      <c r="B1" s="3"/>
      <c r="C1" s="3"/>
      <c r="D1" s="3"/>
      <c r="E1" s="3"/>
      <c r="F1" s="3"/>
      <c r="G1" s="3"/>
      <c r="H1" s="4"/>
      <c r="I1" s="4"/>
      <c r="J1" s="4"/>
      <c r="K1" s="4"/>
      <c r="L1" s="4"/>
      <c r="M1" s="4"/>
      <c r="N1" s="4"/>
      <c r="O1" s="4"/>
      <c r="P1" s="4"/>
      <c r="Q1" s="4"/>
    </row>
    <row r="2">
      <c r="A2" s="5"/>
      <c r="B2" s="6"/>
      <c r="C2" s="7"/>
      <c r="D2" s="7"/>
      <c r="E2" s="7"/>
      <c r="F2" s="7"/>
      <c r="G2" s="7"/>
    </row>
    <row r="3">
      <c r="A3" s="8" t="s">
        <v>7</v>
      </c>
      <c r="B3" s="9" t="s">
        <v>8</v>
      </c>
      <c r="C3" s="10" t="s">
        <v>9</v>
      </c>
      <c r="D3" s="10" t="s">
        <v>10</v>
      </c>
      <c r="E3" s="10" t="s">
        <v>11</v>
      </c>
      <c r="F3" s="10" t="s">
        <v>12</v>
      </c>
      <c r="G3" s="10" t="s">
        <v>13</v>
      </c>
      <c r="J3" s="8" t="s">
        <v>7</v>
      </c>
      <c r="K3" s="10" t="s">
        <v>9</v>
      </c>
      <c r="L3" s="10" t="s">
        <v>10</v>
      </c>
      <c r="M3" s="10" t="s">
        <v>11</v>
      </c>
      <c r="N3" s="10" t="s">
        <v>12</v>
      </c>
      <c r="O3" s="10" t="s">
        <v>13</v>
      </c>
      <c r="P3" s="11"/>
      <c r="Q3" s="11"/>
    </row>
    <row r="4">
      <c r="A4" s="12" t="s">
        <v>14</v>
      </c>
      <c r="B4" s="13" t="s">
        <v>15</v>
      </c>
      <c r="C4" s="14" t="s">
        <v>16</v>
      </c>
      <c r="D4" s="14" t="s">
        <v>17</v>
      </c>
      <c r="E4" s="14" t="s">
        <v>18</v>
      </c>
      <c r="F4" s="14" t="s">
        <v>19</v>
      </c>
      <c r="G4" s="14" t="s">
        <v>20</v>
      </c>
      <c r="J4" s="12" t="s">
        <v>14</v>
      </c>
      <c r="K4" s="14" t="s">
        <v>16</v>
      </c>
      <c r="L4" s="14" t="s">
        <v>17</v>
      </c>
      <c r="M4" s="14" t="s">
        <v>18</v>
      </c>
      <c r="N4" s="14" t="s">
        <v>19</v>
      </c>
      <c r="O4" s="14" t="s">
        <v>20</v>
      </c>
      <c r="P4" s="11"/>
      <c r="Q4" s="11"/>
    </row>
    <row r="5">
      <c r="A5" s="15" t="s">
        <v>21</v>
      </c>
      <c r="B5" s="16">
        <v>60335.4</v>
      </c>
      <c r="C5" s="17">
        <v>68814.1</v>
      </c>
      <c r="D5" s="17">
        <v>73387.0</v>
      </c>
      <c r="E5" s="17">
        <v>104884.5</v>
      </c>
      <c r="F5" s="17">
        <v>190620.7</v>
      </c>
      <c r="G5" s="17">
        <v>180507.7</v>
      </c>
      <c r="J5" s="15" t="s">
        <v>21</v>
      </c>
      <c r="K5" s="18">
        <f t="shared" ref="K5:O5" si="1">IFERROR((C5/$C5)*100, "")</f>
        <v>100</v>
      </c>
      <c r="L5" s="18">
        <f t="shared" si="1"/>
        <v>106.6452951</v>
      </c>
      <c r="M5" s="18">
        <f t="shared" si="1"/>
        <v>152.4171645</v>
      </c>
      <c r="N5" s="18">
        <f t="shared" si="1"/>
        <v>277.0082004</v>
      </c>
      <c r="O5" s="18">
        <f t="shared" si="1"/>
        <v>262.3120843</v>
      </c>
      <c r="P5" s="19"/>
      <c r="Q5" s="19"/>
    </row>
    <row r="6">
      <c r="A6" s="20" t="s">
        <v>22</v>
      </c>
      <c r="B6" s="21">
        <v>60335.4</v>
      </c>
      <c r="C6" s="18">
        <v>68814.1</v>
      </c>
      <c r="D6" s="18">
        <v>73387.0</v>
      </c>
      <c r="E6" s="18">
        <v>104884.5</v>
      </c>
      <c r="F6" s="18">
        <v>190620.7</v>
      </c>
      <c r="G6" s="18">
        <v>180507.7</v>
      </c>
      <c r="J6" s="20" t="s">
        <v>22</v>
      </c>
      <c r="K6" s="18">
        <f t="shared" ref="K6:O6" si="2">IFERROR((C6/$C6)*100, "")</f>
        <v>100</v>
      </c>
      <c r="L6" s="18">
        <f t="shared" si="2"/>
        <v>106.6452951</v>
      </c>
      <c r="M6" s="18">
        <f t="shared" si="2"/>
        <v>152.4171645</v>
      </c>
      <c r="N6" s="18">
        <f t="shared" si="2"/>
        <v>277.0082004</v>
      </c>
      <c r="O6" s="18">
        <f t="shared" si="2"/>
        <v>262.3120843</v>
      </c>
      <c r="P6" s="19"/>
      <c r="Q6" s="19"/>
    </row>
    <row r="7">
      <c r="A7" s="20" t="s">
        <v>23</v>
      </c>
      <c r="B7" s="21">
        <v>156.5</v>
      </c>
      <c r="C7" s="18">
        <v>134.5</v>
      </c>
      <c r="D7" s="18">
        <v>75.4</v>
      </c>
      <c r="E7" s="18">
        <v>96.5</v>
      </c>
      <c r="F7" s="18">
        <v>0.0</v>
      </c>
      <c r="G7" s="18">
        <v>0.0</v>
      </c>
      <c r="J7" s="20" t="s">
        <v>23</v>
      </c>
      <c r="K7" s="18">
        <f t="shared" ref="K7:O7" si="3">IFERROR((C7/$C7)*100, "")</f>
        <v>100</v>
      </c>
      <c r="L7" s="18">
        <f t="shared" si="3"/>
        <v>56.05947955</v>
      </c>
      <c r="M7" s="18">
        <f t="shared" si="3"/>
        <v>71.7472119</v>
      </c>
      <c r="N7" s="18">
        <f t="shared" si="3"/>
        <v>0</v>
      </c>
      <c r="O7" s="18">
        <f t="shared" si="3"/>
        <v>0</v>
      </c>
      <c r="P7" s="19"/>
      <c r="Q7" s="19"/>
    </row>
    <row r="8">
      <c r="A8" s="20" t="s">
        <v>24</v>
      </c>
      <c r="B8" s="21">
        <v>58311.2</v>
      </c>
      <c r="C8" s="18">
        <v>66022.8</v>
      </c>
      <c r="D8" s="18">
        <v>70689.2</v>
      </c>
      <c r="E8" s="18">
        <v>100706.6</v>
      </c>
      <c r="F8" s="18">
        <v>179578.1</v>
      </c>
      <c r="G8" s="18">
        <v>171319.9</v>
      </c>
      <c r="J8" s="20" t="s">
        <v>24</v>
      </c>
      <c r="K8" s="18">
        <f t="shared" ref="K8:O8" si="4">IFERROR((C8/$C8)*100, "")</f>
        <v>100</v>
      </c>
      <c r="L8" s="18">
        <f t="shared" si="4"/>
        <v>107.0678614</v>
      </c>
      <c r="M8" s="18">
        <f t="shared" si="4"/>
        <v>152.5330643</v>
      </c>
      <c r="N8" s="18">
        <f t="shared" si="4"/>
        <v>271.9940687</v>
      </c>
      <c r="O8" s="18">
        <f t="shared" si="4"/>
        <v>259.4859655</v>
      </c>
      <c r="P8" s="19"/>
      <c r="Q8" s="19"/>
    </row>
    <row r="9">
      <c r="A9" s="20" t="s">
        <v>25</v>
      </c>
      <c r="B9" s="21" t="s">
        <v>26</v>
      </c>
      <c r="C9" s="18" t="s">
        <v>26</v>
      </c>
      <c r="D9" s="18" t="s">
        <v>26</v>
      </c>
      <c r="E9" s="18" t="s">
        <v>26</v>
      </c>
      <c r="F9" s="18" t="s">
        <v>26</v>
      </c>
      <c r="G9" s="18" t="s">
        <v>26</v>
      </c>
      <c r="J9" s="20" t="s">
        <v>25</v>
      </c>
      <c r="K9" s="18" t="str">
        <f t="shared" ref="K9:O9" si="5">IFERROR((C9/$C9)*100, "")</f>
        <v/>
      </c>
      <c r="L9" s="18" t="str">
        <f t="shared" si="5"/>
        <v/>
      </c>
      <c r="M9" s="18" t="str">
        <f t="shared" si="5"/>
        <v/>
      </c>
      <c r="N9" s="18" t="str">
        <f t="shared" si="5"/>
        <v/>
      </c>
      <c r="O9" s="18" t="str">
        <f t="shared" si="5"/>
        <v/>
      </c>
      <c r="P9" s="19"/>
      <c r="Q9" s="19"/>
    </row>
    <row r="10">
      <c r="A10" s="22" t="s">
        <v>27</v>
      </c>
      <c r="B10" s="23">
        <v>282.3</v>
      </c>
      <c r="C10" s="24">
        <v>248.1</v>
      </c>
      <c r="D10" s="24">
        <v>264.4</v>
      </c>
      <c r="E10" s="24">
        <v>117.2</v>
      </c>
      <c r="F10" s="24">
        <v>0.0</v>
      </c>
      <c r="G10" s="24">
        <v>47.8</v>
      </c>
      <c r="J10" s="22" t="s">
        <v>27</v>
      </c>
      <c r="K10" s="18">
        <f t="shared" ref="K10:O10" si="6">IFERROR((C10/$C10)*100, "")</f>
        <v>100</v>
      </c>
      <c r="L10" s="18">
        <f t="shared" si="6"/>
        <v>106.5699315</v>
      </c>
      <c r="M10" s="18">
        <f t="shared" si="6"/>
        <v>47.23901653</v>
      </c>
      <c r="N10" s="18">
        <f t="shared" si="6"/>
        <v>0</v>
      </c>
      <c r="O10" s="18">
        <f t="shared" si="6"/>
        <v>19.26642483</v>
      </c>
      <c r="P10" s="19"/>
      <c r="Q10" s="19"/>
    </row>
    <row r="11">
      <c r="A11" s="20" t="s">
        <v>28</v>
      </c>
      <c r="B11" s="21">
        <v>0.0</v>
      </c>
      <c r="C11" s="18">
        <v>0.0</v>
      </c>
      <c r="D11" s="18">
        <v>0.0</v>
      </c>
      <c r="E11" s="18">
        <v>0.0</v>
      </c>
      <c r="F11" s="18" t="s">
        <v>26</v>
      </c>
      <c r="G11" s="18" t="s">
        <v>26</v>
      </c>
      <c r="J11" s="20" t="s">
        <v>28</v>
      </c>
      <c r="K11" s="18" t="str">
        <f t="shared" ref="K11:O11" si="7">IFERROR((C11/$C11)*100, "")</f>
        <v/>
      </c>
      <c r="L11" s="18" t="str">
        <f t="shared" si="7"/>
        <v/>
      </c>
      <c r="M11" s="18" t="str">
        <f t="shared" si="7"/>
        <v/>
      </c>
      <c r="N11" s="18" t="str">
        <f t="shared" si="7"/>
        <v/>
      </c>
      <c r="O11" s="18" t="str">
        <f t="shared" si="7"/>
        <v/>
      </c>
      <c r="P11" s="19"/>
      <c r="Q11" s="19"/>
    </row>
    <row r="12">
      <c r="A12" s="20" t="s">
        <v>29</v>
      </c>
      <c r="B12" s="21">
        <v>1590.6</v>
      </c>
      <c r="C12" s="18">
        <v>1559.3</v>
      </c>
      <c r="D12" s="18">
        <v>2316.0</v>
      </c>
      <c r="E12" s="18">
        <v>3060.9</v>
      </c>
      <c r="F12" s="18">
        <v>2375.7</v>
      </c>
      <c r="G12" s="18">
        <v>2780.1</v>
      </c>
      <c r="J12" s="20" t="s">
        <v>29</v>
      </c>
      <c r="K12" s="18">
        <f t="shared" ref="K12:O12" si="8">IFERROR((C12/$C12)*100, "")</f>
        <v>100</v>
      </c>
      <c r="L12" s="18">
        <f t="shared" si="8"/>
        <v>148.5281857</v>
      </c>
      <c r="M12" s="18">
        <f t="shared" si="8"/>
        <v>196.2996216</v>
      </c>
      <c r="N12" s="18">
        <f t="shared" si="8"/>
        <v>152.3568268</v>
      </c>
      <c r="O12" s="18">
        <f t="shared" si="8"/>
        <v>178.2915411</v>
      </c>
      <c r="P12" s="19"/>
      <c r="Q12" s="19"/>
    </row>
    <row r="13">
      <c r="A13" s="20" t="s">
        <v>30</v>
      </c>
      <c r="B13" s="21">
        <v>298.1</v>
      </c>
      <c r="C13" s="18">
        <v>-108.8</v>
      </c>
      <c r="D13" s="18">
        <v>161.8</v>
      </c>
      <c r="E13" s="18">
        <v>318.4</v>
      </c>
      <c r="F13" s="18" t="s">
        <v>26</v>
      </c>
      <c r="G13" s="18" t="s">
        <v>26</v>
      </c>
      <c r="J13" s="20" t="s">
        <v>30</v>
      </c>
      <c r="K13" s="18">
        <f t="shared" ref="K13:O13" si="9">IFERROR((C13/$C13)*100, "")</f>
        <v>100</v>
      </c>
      <c r="L13" s="18">
        <f t="shared" si="9"/>
        <v>-148.7132353</v>
      </c>
      <c r="M13" s="18">
        <f t="shared" si="9"/>
        <v>-292.6470588</v>
      </c>
      <c r="N13" s="18" t="str">
        <f t="shared" si="9"/>
        <v/>
      </c>
      <c r="O13" s="18" t="str">
        <f t="shared" si="9"/>
        <v/>
      </c>
      <c r="P13" s="19"/>
      <c r="Q13" s="19"/>
    </row>
    <row r="14">
      <c r="A14" s="20" t="s">
        <v>31</v>
      </c>
      <c r="B14" s="21">
        <v>56140.2</v>
      </c>
      <c r="C14" s="18">
        <v>64324.2</v>
      </c>
      <c r="D14" s="18">
        <v>67947.0</v>
      </c>
      <c r="E14" s="18">
        <v>97210.1</v>
      </c>
      <c r="F14" s="18">
        <v>177202.4</v>
      </c>
      <c r="G14" s="18">
        <v>168492.0</v>
      </c>
      <c r="J14" s="20" t="s">
        <v>31</v>
      </c>
      <c r="K14" s="18">
        <f t="shared" ref="K14:O14" si="10">IFERROR((C14/$C14)*100, "")</f>
        <v>100</v>
      </c>
      <c r="L14" s="18">
        <f t="shared" si="10"/>
        <v>105.6320949</v>
      </c>
      <c r="M14" s="18">
        <f t="shared" si="10"/>
        <v>151.1252375</v>
      </c>
      <c r="N14" s="18">
        <f t="shared" si="10"/>
        <v>275.4832551</v>
      </c>
      <c r="O14" s="18">
        <f t="shared" si="10"/>
        <v>261.9418508</v>
      </c>
      <c r="P14" s="19"/>
      <c r="Q14" s="19"/>
    </row>
    <row r="15">
      <c r="A15" s="15" t="s">
        <v>32</v>
      </c>
      <c r="B15" s="16">
        <v>2180.7</v>
      </c>
      <c r="C15" s="17">
        <v>2925.8</v>
      </c>
      <c r="D15" s="17">
        <v>2773.2</v>
      </c>
      <c r="E15" s="17">
        <v>4274.4</v>
      </c>
      <c r="F15" s="17">
        <v>11042.6</v>
      </c>
      <c r="G15" s="17">
        <v>9187.8</v>
      </c>
      <c r="J15" s="15" t="s">
        <v>32</v>
      </c>
      <c r="K15" s="17">
        <f t="shared" ref="K15:O15" si="11">IFERROR((C15/$C15)*100, "")</f>
        <v>100</v>
      </c>
      <c r="L15" s="17">
        <f t="shared" si="11"/>
        <v>94.78433249</v>
      </c>
      <c r="M15" s="17">
        <f t="shared" si="11"/>
        <v>146.0933762</v>
      </c>
      <c r="N15" s="17">
        <f t="shared" si="11"/>
        <v>377.4215599</v>
      </c>
      <c r="O15" s="17">
        <f t="shared" si="11"/>
        <v>314.0269328</v>
      </c>
      <c r="P15" s="19"/>
      <c r="Q15" s="19"/>
    </row>
    <row r="16">
      <c r="A16" s="20" t="s">
        <v>33</v>
      </c>
      <c r="B16" s="21">
        <v>60.3</v>
      </c>
      <c r="C16" s="18">
        <v>99.9</v>
      </c>
      <c r="D16" s="18">
        <v>-151.1</v>
      </c>
      <c r="E16" s="18">
        <v>2788.1</v>
      </c>
      <c r="F16" s="18">
        <v>-143.2</v>
      </c>
      <c r="G16" s="18">
        <v>-121.3</v>
      </c>
      <c r="J16" s="20" t="s">
        <v>33</v>
      </c>
      <c r="K16" s="18">
        <f t="shared" ref="K16:O16" si="12">IFERROR((C16/$C16)*100, "")</f>
        <v>100</v>
      </c>
      <c r="L16" s="18">
        <f t="shared" si="12"/>
        <v>-151.2512513</v>
      </c>
      <c r="M16" s="18">
        <f t="shared" si="12"/>
        <v>2790.890891</v>
      </c>
      <c r="N16" s="18">
        <f t="shared" si="12"/>
        <v>-143.3433433</v>
      </c>
      <c r="O16" s="18">
        <f t="shared" si="12"/>
        <v>-121.4214214</v>
      </c>
      <c r="P16" s="19"/>
      <c r="Q16" s="19"/>
    </row>
    <row r="17">
      <c r="A17" s="20" t="s">
        <v>34</v>
      </c>
      <c r="B17" s="21">
        <v>-20.2</v>
      </c>
      <c r="C17" s="18">
        <v>-41.9</v>
      </c>
      <c r="D17" s="18">
        <v>3.3</v>
      </c>
      <c r="E17" s="18">
        <v>877.0</v>
      </c>
      <c r="F17" s="18">
        <v>162.3</v>
      </c>
      <c r="G17" s="18">
        <v>-29.2</v>
      </c>
      <c r="J17" s="20" t="s">
        <v>34</v>
      </c>
      <c r="K17" s="18">
        <f t="shared" ref="K17:O17" si="13">IFERROR((C17/$C17)*100, "")</f>
        <v>100</v>
      </c>
      <c r="L17" s="18">
        <f t="shared" si="13"/>
        <v>-7.875894988</v>
      </c>
      <c r="M17" s="18">
        <f t="shared" si="13"/>
        <v>-2093.078759</v>
      </c>
      <c r="N17" s="18">
        <f t="shared" si="13"/>
        <v>-387.3508353</v>
      </c>
      <c r="O17" s="18">
        <f t="shared" si="13"/>
        <v>69.68973747</v>
      </c>
      <c r="P17" s="19"/>
      <c r="Q17" s="19"/>
    </row>
    <row r="18">
      <c r="A18" s="22" t="s">
        <v>35</v>
      </c>
      <c r="B18" s="23">
        <v>6.0</v>
      </c>
      <c r="C18" s="24">
        <v>2.5</v>
      </c>
      <c r="D18" s="24">
        <v>3.3</v>
      </c>
      <c r="E18" s="24">
        <v>980.9</v>
      </c>
      <c r="F18" s="24">
        <v>327.8</v>
      </c>
      <c r="G18" s="24">
        <v>243.7</v>
      </c>
      <c r="J18" s="22" t="s">
        <v>35</v>
      </c>
      <c r="K18" s="18">
        <f t="shared" ref="K18:O18" si="14">IFERROR((C18/$C18)*100, "")</f>
        <v>100</v>
      </c>
      <c r="L18" s="18">
        <f t="shared" si="14"/>
        <v>132</v>
      </c>
      <c r="M18" s="18">
        <f t="shared" si="14"/>
        <v>39236</v>
      </c>
      <c r="N18" s="18">
        <f t="shared" si="14"/>
        <v>13112</v>
      </c>
      <c r="O18" s="18">
        <f t="shared" si="14"/>
        <v>9748</v>
      </c>
      <c r="P18" s="19"/>
      <c r="Q18" s="19"/>
    </row>
    <row r="19">
      <c r="A19" s="22" t="s">
        <v>36</v>
      </c>
      <c r="B19" s="23">
        <v>26.2</v>
      </c>
      <c r="C19" s="24">
        <v>44.4</v>
      </c>
      <c r="D19" s="24">
        <v>0.0</v>
      </c>
      <c r="E19" s="24">
        <v>103.9</v>
      </c>
      <c r="F19" s="24">
        <v>165.5</v>
      </c>
      <c r="G19" s="24">
        <v>272.9</v>
      </c>
      <c r="J19" s="22" t="s">
        <v>36</v>
      </c>
      <c r="K19" s="18">
        <f t="shared" ref="K19:O19" si="15">IFERROR((C19/$C19)*100, "")</f>
        <v>100</v>
      </c>
      <c r="L19" s="18">
        <f t="shared" si="15"/>
        <v>0</v>
      </c>
      <c r="M19" s="18">
        <f t="shared" si="15"/>
        <v>234.009009</v>
      </c>
      <c r="N19" s="18">
        <f t="shared" si="15"/>
        <v>372.7477477</v>
      </c>
      <c r="O19" s="18">
        <f t="shared" si="15"/>
        <v>614.6396396</v>
      </c>
      <c r="P19" s="19"/>
      <c r="Q19" s="19"/>
    </row>
    <row r="20" ht="15.75" customHeight="1">
      <c r="A20" s="20" t="s">
        <v>37</v>
      </c>
      <c r="B20" s="21" t="s">
        <v>26</v>
      </c>
      <c r="C20" s="18" t="s">
        <v>26</v>
      </c>
      <c r="D20" s="18" t="s">
        <v>26</v>
      </c>
      <c r="E20" s="18">
        <v>-8.0</v>
      </c>
      <c r="F20" s="18">
        <v>-1.9</v>
      </c>
      <c r="G20" s="18">
        <v>-16.0</v>
      </c>
      <c r="J20" s="20" t="s">
        <v>37</v>
      </c>
      <c r="K20" s="18" t="str">
        <f t="shared" ref="K20:O20" si="16">IFERROR((C20/$C20)*100, "")</f>
        <v/>
      </c>
      <c r="L20" s="18" t="str">
        <f t="shared" si="16"/>
        <v/>
      </c>
      <c r="M20" s="18" t="str">
        <f t="shared" si="16"/>
        <v/>
      </c>
      <c r="N20" s="18" t="str">
        <f t="shared" si="16"/>
        <v/>
      </c>
      <c r="O20" s="18" t="str">
        <f t="shared" si="16"/>
        <v/>
      </c>
      <c r="P20" s="19"/>
      <c r="Q20" s="19"/>
    </row>
    <row r="21" ht="15.75" customHeight="1">
      <c r="A21" s="20" t="s">
        <v>38</v>
      </c>
      <c r="B21" s="21">
        <v>-2.2</v>
      </c>
      <c r="C21" s="18">
        <v>-13.7</v>
      </c>
      <c r="D21" s="18">
        <v>0.0</v>
      </c>
      <c r="E21" s="18">
        <v>0.0</v>
      </c>
      <c r="F21" s="18">
        <v>0.0</v>
      </c>
      <c r="G21" s="18">
        <v>-47.7</v>
      </c>
      <c r="J21" s="20" t="s">
        <v>38</v>
      </c>
      <c r="K21" s="18">
        <f t="shared" ref="K21:O21" si="17">IFERROR((C21/$C21)*100, "")</f>
        <v>100</v>
      </c>
      <c r="L21" s="18">
        <f t="shared" si="17"/>
        <v>0</v>
      </c>
      <c r="M21" s="18">
        <f t="shared" si="17"/>
        <v>0</v>
      </c>
      <c r="N21" s="18">
        <f t="shared" si="17"/>
        <v>0</v>
      </c>
      <c r="O21" s="18">
        <f t="shared" si="17"/>
        <v>348.1751825</v>
      </c>
      <c r="P21" s="19"/>
      <c r="Q21" s="19"/>
    </row>
    <row r="22" ht="15.75" customHeight="1">
      <c r="A22" s="20" t="s">
        <v>39</v>
      </c>
      <c r="B22" s="21">
        <v>-48.0</v>
      </c>
      <c r="C22" s="18">
        <v>-52.1</v>
      </c>
      <c r="D22" s="18">
        <v>-60.7</v>
      </c>
      <c r="E22" s="18">
        <v>-170.0</v>
      </c>
      <c r="F22" s="18">
        <v>-812.0</v>
      </c>
      <c r="G22" s="18">
        <v>-174.4</v>
      </c>
      <c r="J22" s="20" t="s">
        <v>39</v>
      </c>
      <c r="K22" s="18">
        <f t="shared" ref="K22:O22" si="18">IFERROR((C22/$C22)*100, "")</f>
        <v>100</v>
      </c>
      <c r="L22" s="18">
        <f t="shared" si="18"/>
        <v>116.5067179</v>
      </c>
      <c r="M22" s="18">
        <f t="shared" si="18"/>
        <v>326.2955854</v>
      </c>
      <c r="N22" s="18">
        <f t="shared" si="18"/>
        <v>1558.541267</v>
      </c>
      <c r="O22" s="18">
        <f t="shared" si="18"/>
        <v>334.7408829</v>
      </c>
      <c r="P22" s="19"/>
      <c r="Q22" s="19"/>
    </row>
    <row r="23" ht="15.75" customHeight="1">
      <c r="A23" s="20" t="s">
        <v>40</v>
      </c>
      <c r="B23" s="21">
        <v>130.7</v>
      </c>
      <c r="C23" s="18">
        <v>207.6</v>
      </c>
      <c r="D23" s="18">
        <v>-93.7</v>
      </c>
      <c r="E23" s="18">
        <v>2089.1</v>
      </c>
      <c r="F23" s="18">
        <v>508.4</v>
      </c>
      <c r="G23" s="18">
        <v>146.0</v>
      </c>
      <c r="J23" s="20" t="s">
        <v>40</v>
      </c>
      <c r="K23" s="18">
        <f t="shared" ref="K23:O23" si="19">IFERROR((C23/$C23)*100, "")</f>
        <v>100</v>
      </c>
      <c r="L23" s="18">
        <f t="shared" si="19"/>
        <v>-45.13487476</v>
      </c>
      <c r="M23" s="18">
        <f t="shared" si="19"/>
        <v>1006.310212</v>
      </c>
      <c r="N23" s="18">
        <f t="shared" si="19"/>
        <v>244.894027</v>
      </c>
      <c r="O23" s="18">
        <f t="shared" si="19"/>
        <v>70.32755299</v>
      </c>
      <c r="P23" s="19"/>
      <c r="Q23" s="19"/>
    </row>
    <row r="24" ht="15.75" customHeight="1">
      <c r="A24" s="15" t="s">
        <v>41</v>
      </c>
      <c r="B24" s="16">
        <v>2120.4</v>
      </c>
      <c r="C24" s="17">
        <v>2825.9</v>
      </c>
      <c r="D24" s="17">
        <v>2924.3</v>
      </c>
      <c r="E24" s="17">
        <v>1486.3</v>
      </c>
      <c r="F24" s="17">
        <v>11185.8</v>
      </c>
      <c r="G24" s="17">
        <v>9309.1</v>
      </c>
      <c r="J24" s="15" t="s">
        <v>41</v>
      </c>
      <c r="K24" s="17">
        <f t="shared" ref="K24:O24" si="20">IFERROR((C24/$C24)*100, "")</f>
        <v>100</v>
      </c>
      <c r="L24" s="17">
        <f t="shared" si="20"/>
        <v>103.4820765</v>
      </c>
      <c r="M24" s="17">
        <f t="shared" si="20"/>
        <v>52.59563325</v>
      </c>
      <c r="N24" s="17">
        <f t="shared" si="20"/>
        <v>395.8314165</v>
      </c>
      <c r="O24" s="17">
        <f t="shared" si="20"/>
        <v>329.4207155</v>
      </c>
      <c r="P24" s="19"/>
      <c r="Q24" s="19"/>
    </row>
    <row r="25" ht="15.75" customHeight="1">
      <c r="A25" s="20" t="s">
        <v>42</v>
      </c>
      <c r="B25" s="21">
        <v>-131.8</v>
      </c>
      <c r="C25" s="18">
        <v>-194.9</v>
      </c>
      <c r="D25" s="18">
        <v>-130.1</v>
      </c>
      <c r="E25" s="18">
        <v>-104.5</v>
      </c>
      <c r="F25" s="18">
        <v>375.1</v>
      </c>
      <c r="G25" s="18">
        <v>355.7</v>
      </c>
      <c r="J25" s="20" t="s">
        <v>42</v>
      </c>
      <c r="K25" s="18">
        <f t="shared" ref="K25:O25" si="21">IFERROR((C25/$C25)*100, "")</f>
        <v>100</v>
      </c>
      <c r="L25" s="18">
        <f t="shared" si="21"/>
        <v>66.75218061</v>
      </c>
      <c r="M25" s="18">
        <f t="shared" si="21"/>
        <v>53.61723961</v>
      </c>
      <c r="N25" s="18">
        <f t="shared" si="21"/>
        <v>-192.4576706</v>
      </c>
      <c r="O25" s="18">
        <f t="shared" si="21"/>
        <v>-182.5038481</v>
      </c>
      <c r="P25" s="19"/>
      <c r="Q25" s="19"/>
    </row>
    <row r="26" ht="15.75" customHeight="1">
      <c r="A26" s="20" t="s">
        <v>43</v>
      </c>
      <c r="B26" s="21">
        <v>-149.3</v>
      </c>
      <c r="C26" s="18">
        <v>-127.1</v>
      </c>
      <c r="D26" s="18">
        <v>31.6</v>
      </c>
      <c r="E26" s="18">
        <v>-90.6</v>
      </c>
      <c r="F26" s="18">
        <v>14.4</v>
      </c>
      <c r="G26" s="18">
        <v>3.2</v>
      </c>
      <c r="J26" s="20" t="s">
        <v>43</v>
      </c>
      <c r="K26" s="18">
        <f t="shared" ref="K26:O26" si="22">IFERROR((C26/$C26)*100, "")</f>
        <v>100</v>
      </c>
      <c r="L26" s="18">
        <f t="shared" si="22"/>
        <v>-24.86231314</v>
      </c>
      <c r="M26" s="18">
        <f t="shared" si="22"/>
        <v>71.28245476</v>
      </c>
      <c r="N26" s="18">
        <f t="shared" si="22"/>
        <v>-11.32966168</v>
      </c>
      <c r="O26" s="18">
        <f t="shared" si="22"/>
        <v>-2.517702596</v>
      </c>
      <c r="P26" s="19"/>
      <c r="Q26" s="19"/>
    </row>
    <row r="27" ht="15.75" customHeight="1">
      <c r="A27" s="20" t="s">
        <v>44</v>
      </c>
      <c r="B27" s="21" t="s">
        <v>26</v>
      </c>
      <c r="C27" s="18" t="s">
        <v>26</v>
      </c>
      <c r="D27" s="18" t="s">
        <v>26</v>
      </c>
      <c r="E27" s="18" t="s">
        <v>26</v>
      </c>
      <c r="F27" s="18">
        <v>555.8</v>
      </c>
      <c r="G27" s="18">
        <v>702.8</v>
      </c>
      <c r="J27" s="20" t="s">
        <v>44</v>
      </c>
      <c r="K27" s="18" t="str">
        <f t="shared" ref="K27:O27" si="23">IFERROR((C27/$C27)*100, "")</f>
        <v/>
      </c>
      <c r="L27" s="18" t="str">
        <f t="shared" si="23"/>
        <v/>
      </c>
      <c r="M27" s="18" t="str">
        <f t="shared" si="23"/>
        <v/>
      </c>
      <c r="N27" s="18" t="str">
        <f t="shared" si="23"/>
        <v/>
      </c>
      <c r="O27" s="18" t="str">
        <f t="shared" si="23"/>
        <v/>
      </c>
      <c r="P27" s="19"/>
      <c r="Q27" s="19"/>
    </row>
    <row r="28" ht="15.75" customHeight="1">
      <c r="A28" s="20" t="s">
        <v>45</v>
      </c>
      <c r="B28" s="21">
        <v>68.6</v>
      </c>
      <c r="C28" s="18" t="s">
        <v>26</v>
      </c>
      <c r="D28" s="18" t="s">
        <v>26</v>
      </c>
      <c r="E28" s="18" t="s">
        <v>26</v>
      </c>
      <c r="F28" s="18" t="s">
        <v>26</v>
      </c>
      <c r="G28" s="18" t="s">
        <v>26</v>
      </c>
      <c r="J28" s="20" t="s">
        <v>45</v>
      </c>
      <c r="K28" s="18" t="str">
        <f t="shared" ref="K28:O28" si="24">IFERROR((C28/$C28)*100, "")</f>
        <v/>
      </c>
      <c r="L28" s="18" t="str">
        <f t="shared" si="24"/>
        <v/>
      </c>
      <c r="M28" s="18" t="str">
        <f t="shared" si="24"/>
        <v/>
      </c>
      <c r="N28" s="18" t="str">
        <f t="shared" si="24"/>
        <v/>
      </c>
      <c r="O28" s="18" t="str">
        <f t="shared" si="24"/>
        <v/>
      </c>
      <c r="P28" s="19"/>
      <c r="Q28" s="19"/>
    </row>
    <row r="29" ht="15.75" customHeight="1">
      <c r="A29" s="20" t="s">
        <v>46</v>
      </c>
      <c r="B29" s="21" t="s">
        <v>26</v>
      </c>
      <c r="C29" s="18" t="s">
        <v>26</v>
      </c>
      <c r="D29" s="18">
        <v>-125.8</v>
      </c>
      <c r="E29" s="18" t="s">
        <v>26</v>
      </c>
      <c r="F29" s="18">
        <v>-185.1</v>
      </c>
      <c r="G29" s="18">
        <v>-278.7</v>
      </c>
      <c r="J29" s="20" t="s">
        <v>46</v>
      </c>
      <c r="K29" s="18" t="str">
        <f t="shared" ref="K29:O29" si="25">IFERROR((C29/$C29)*100, "")</f>
        <v/>
      </c>
      <c r="L29" s="18" t="str">
        <f t="shared" si="25"/>
        <v/>
      </c>
      <c r="M29" s="18" t="str">
        <f t="shared" si="25"/>
        <v/>
      </c>
      <c r="N29" s="18" t="str">
        <f t="shared" si="25"/>
        <v/>
      </c>
      <c r="O29" s="18" t="str">
        <f t="shared" si="25"/>
        <v/>
      </c>
      <c r="P29" s="19"/>
      <c r="Q29" s="19"/>
    </row>
    <row r="30" ht="15.75" customHeight="1">
      <c r="A30" s="20" t="s">
        <v>47</v>
      </c>
      <c r="B30" s="21">
        <v>-51.1</v>
      </c>
      <c r="C30" s="18">
        <v>-67.8</v>
      </c>
      <c r="D30" s="18">
        <v>-35.9</v>
      </c>
      <c r="E30" s="18">
        <v>-13.9</v>
      </c>
      <c r="F30" s="18">
        <v>-6.7</v>
      </c>
      <c r="G30" s="18">
        <v>-50.2</v>
      </c>
      <c r="J30" s="20" t="s">
        <v>47</v>
      </c>
      <c r="K30" s="18">
        <f t="shared" ref="K30:O30" si="26">IFERROR((C30/$C30)*100, "")</f>
        <v>100</v>
      </c>
      <c r="L30" s="18">
        <f t="shared" si="26"/>
        <v>52.94985251</v>
      </c>
      <c r="M30" s="18">
        <f t="shared" si="26"/>
        <v>20.50147493</v>
      </c>
      <c r="N30" s="18">
        <f t="shared" si="26"/>
        <v>9.8820059</v>
      </c>
      <c r="O30" s="18">
        <f t="shared" si="26"/>
        <v>74.04129794</v>
      </c>
      <c r="P30" s="19"/>
      <c r="Q30" s="19"/>
    </row>
    <row r="31" ht="15.75" customHeight="1">
      <c r="A31" s="20" t="s">
        <v>48</v>
      </c>
      <c r="B31" s="21" t="s">
        <v>26</v>
      </c>
      <c r="C31" s="18" t="s">
        <v>26</v>
      </c>
      <c r="D31" s="18" t="s">
        <v>26</v>
      </c>
      <c r="E31" s="18" t="s">
        <v>26</v>
      </c>
      <c r="F31" s="18">
        <v>-3.3</v>
      </c>
      <c r="G31" s="18">
        <v>-21.4</v>
      </c>
      <c r="J31" s="20" t="s">
        <v>48</v>
      </c>
      <c r="K31" s="18" t="str">
        <f t="shared" ref="K31:O31" si="27">IFERROR((C31/$C31)*100, "")</f>
        <v/>
      </c>
      <c r="L31" s="18" t="str">
        <f t="shared" si="27"/>
        <v/>
      </c>
      <c r="M31" s="18" t="str">
        <f t="shared" si="27"/>
        <v/>
      </c>
      <c r="N31" s="18" t="str">
        <f t="shared" si="27"/>
        <v/>
      </c>
      <c r="O31" s="18" t="str">
        <f t="shared" si="27"/>
        <v/>
      </c>
      <c r="P31" s="19"/>
      <c r="Q31" s="19"/>
    </row>
    <row r="32" ht="15.75" customHeight="1">
      <c r="A32" s="20" t="s">
        <v>49</v>
      </c>
      <c r="B32" s="21" t="s">
        <v>26</v>
      </c>
      <c r="C32" s="18" t="s">
        <v>26</v>
      </c>
      <c r="D32" s="18" t="s">
        <v>26</v>
      </c>
      <c r="E32" s="18" t="s">
        <v>26</v>
      </c>
      <c r="F32" s="18" t="s">
        <v>26</v>
      </c>
      <c r="G32" s="18" t="s">
        <v>26</v>
      </c>
      <c r="J32" s="20" t="s">
        <v>49</v>
      </c>
      <c r="K32" s="18" t="str">
        <f t="shared" ref="K32:O32" si="28">IFERROR((C32/$C32)*100, "")</f>
        <v/>
      </c>
      <c r="L32" s="18" t="str">
        <f t="shared" si="28"/>
        <v/>
      </c>
      <c r="M32" s="18" t="str">
        <f t="shared" si="28"/>
        <v/>
      </c>
      <c r="N32" s="18" t="str">
        <f t="shared" si="28"/>
        <v/>
      </c>
      <c r="O32" s="18" t="str">
        <f t="shared" si="28"/>
        <v/>
      </c>
      <c r="P32" s="19"/>
      <c r="Q32" s="19"/>
    </row>
    <row r="33" ht="15.75" customHeight="1">
      <c r="A33" s="15" t="s">
        <v>50</v>
      </c>
      <c r="B33" s="16">
        <v>2252.2</v>
      </c>
      <c r="C33" s="17">
        <v>3020.8</v>
      </c>
      <c r="D33" s="17">
        <v>3054.4</v>
      </c>
      <c r="E33" s="17">
        <v>1590.8</v>
      </c>
      <c r="F33" s="17">
        <v>10810.7</v>
      </c>
      <c r="G33" s="17">
        <v>8953.4</v>
      </c>
      <c r="J33" s="15" t="s">
        <v>50</v>
      </c>
      <c r="K33" s="17">
        <f t="shared" ref="K33:O33" si="29">IFERROR((C33/$C33)*100, "")</f>
        <v>100</v>
      </c>
      <c r="L33" s="17">
        <f t="shared" si="29"/>
        <v>101.1122881</v>
      </c>
      <c r="M33" s="17">
        <f t="shared" si="29"/>
        <v>52.66154661</v>
      </c>
      <c r="N33" s="17">
        <f t="shared" si="29"/>
        <v>357.8753972</v>
      </c>
      <c r="O33" s="17">
        <f t="shared" si="29"/>
        <v>296.3916843</v>
      </c>
      <c r="P33" s="19"/>
      <c r="Q33" s="19"/>
    </row>
    <row r="34" ht="15.75" customHeight="1">
      <c r="A34" s="20" t="s">
        <v>51</v>
      </c>
      <c r="B34" s="21">
        <v>512.6</v>
      </c>
      <c r="C34" s="18">
        <v>542.4</v>
      </c>
      <c r="D34" s="18">
        <v>711.0</v>
      </c>
      <c r="E34" s="18">
        <v>639.7</v>
      </c>
      <c r="F34" s="18">
        <v>2570.2</v>
      </c>
      <c r="G34" s="18">
        <v>2421.3</v>
      </c>
      <c r="J34" s="20" t="s">
        <v>51</v>
      </c>
      <c r="K34" s="18">
        <f t="shared" ref="K34:O34" si="30">IFERROR((C34/$C34)*100, "")</f>
        <v>100</v>
      </c>
      <c r="L34" s="18">
        <f t="shared" si="30"/>
        <v>131.0840708</v>
      </c>
      <c r="M34" s="18">
        <f t="shared" si="30"/>
        <v>117.9387906</v>
      </c>
      <c r="N34" s="18">
        <f t="shared" si="30"/>
        <v>473.8569322</v>
      </c>
      <c r="O34" s="18">
        <f t="shared" si="30"/>
        <v>446.4048673</v>
      </c>
      <c r="P34" s="19"/>
      <c r="Q34" s="19"/>
    </row>
    <row r="35" ht="15.75" customHeight="1">
      <c r="A35" s="20" t="s">
        <v>52</v>
      </c>
      <c r="B35" s="21">
        <v>602.8</v>
      </c>
      <c r="C35" s="18">
        <v>925.3</v>
      </c>
      <c r="D35" s="18">
        <v>1345.0</v>
      </c>
      <c r="E35" s="18">
        <v>1267.7</v>
      </c>
      <c r="F35" s="18">
        <v>2803.3</v>
      </c>
      <c r="G35" s="18">
        <v>2508.2</v>
      </c>
      <c r="J35" s="20" t="s">
        <v>52</v>
      </c>
      <c r="K35" s="18">
        <f t="shared" ref="K35:O35" si="31">IFERROR((C35/$C35)*100, "")</f>
        <v>100</v>
      </c>
      <c r="L35" s="18">
        <f t="shared" si="31"/>
        <v>145.3582622</v>
      </c>
      <c r="M35" s="18">
        <f t="shared" si="31"/>
        <v>137.0042148</v>
      </c>
      <c r="N35" s="18">
        <f t="shared" si="31"/>
        <v>302.9612018</v>
      </c>
      <c r="O35" s="18">
        <f t="shared" si="31"/>
        <v>271.0688425</v>
      </c>
      <c r="P35" s="19"/>
      <c r="Q35" s="19"/>
    </row>
    <row r="36" ht="15.75" customHeight="1">
      <c r="A36" s="20" t="s">
        <v>53</v>
      </c>
      <c r="B36" s="21">
        <v>-90.2</v>
      </c>
      <c r="C36" s="18">
        <v>-382.9</v>
      </c>
      <c r="D36" s="18">
        <v>-634.0</v>
      </c>
      <c r="E36" s="18">
        <v>-628.0</v>
      </c>
      <c r="F36" s="18">
        <v>-233.1</v>
      </c>
      <c r="G36" s="18">
        <v>-86.9</v>
      </c>
      <c r="J36" s="20" t="s">
        <v>53</v>
      </c>
      <c r="K36" s="18">
        <f t="shared" ref="K36:O36" si="32">IFERROR((C36/$C36)*100, "")</f>
        <v>100</v>
      </c>
      <c r="L36" s="18">
        <f t="shared" si="32"/>
        <v>165.57848</v>
      </c>
      <c r="M36" s="18">
        <f t="shared" si="32"/>
        <v>164.0114913</v>
      </c>
      <c r="N36" s="18">
        <f t="shared" si="32"/>
        <v>60.87751371</v>
      </c>
      <c r="O36" s="18">
        <f t="shared" si="32"/>
        <v>22.69522068</v>
      </c>
      <c r="P36" s="19"/>
      <c r="Q36" s="19"/>
    </row>
    <row r="37" ht="15.75" customHeight="1">
      <c r="A37" s="20" t="s">
        <v>54</v>
      </c>
      <c r="B37" s="21" t="s">
        <v>26</v>
      </c>
      <c r="C37" s="18" t="s">
        <v>26</v>
      </c>
      <c r="D37" s="18" t="s">
        <v>26</v>
      </c>
      <c r="E37" s="18" t="s">
        <v>26</v>
      </c>
      <c r="F37" s="18" t="s">
        <v>26</v>
      </c>
      <c r="G37" s="18" t="s">
        <v>26</v>
      </c>
      <c r="J37" s="20" t="s">
        <v>54</v>
      </c>
      <c r="K37" s="18" t="str">
        <f t="shared" ref="K37:O37" si="33">IFERROR((C37/$C37)*100, "")</f>
        <v/>
      </c>
      <c r="L37" s="18" t="str">
        <f t="shared" si="33"/>
        <v/>
      </c>
      <c r="M37" s="18" t="str">
        <f t="shared" si="33"/>
        <v/>
      </c>
      <c r="N37" s="18" t="str">
        <f t="shared" si="33"/>
        <v/>
      </c>
      <c r="O37" s="18" t="str">
        <f t="shared" si="33"/>
        <v/>
      </c>
      <c r="P37" s="19"/>
      <c r="Q37" s="19"/>
    </row>
    <row r="38" ht="15.75" customHeight="1">
      <c r="A38" s="20" t="s">
        <v>55</v>
      </c>
      <c r="B38" s="21" t="s">
        <v>26</v>
      </c>
      <c r="C38" s="18" t="s">
        <v>26</v>
      </c>
      <c r="D38" s="18" t="s">
        <v>26</v>
      </c>
      <c r="E38" s="18" t="s">
        <v>26</v>
      </c>
      <c r="F38" s="18" t="s">
        <v>26</v>
      </c>
      <c r="G38" s="18" t="s">
        <v>26</v>
      </c>
      <c r="J38" s="20" t="s">
        <v>55</v>
      </c>
      <c r="K38" s="18" t="str">
        <f t="shared" ref="K38:O38" si="34">IFERROR((C38/$C38)*100, "")</f>
        <v/>
      </c>
      <c r="L38" s="18" t="str">
        <f t="shared" si="34"/>
        <v/>
      </c>
      <c r="M38" s="18" t="str">
        <f t="shared" si="34"/>
        <v/>
      </c>
      <c r="N38" s="18" t="str">
        <f t="shared" si="34"/>
        <v/>
      </c>
      <c r="O38" s="18" t="str">
        <f t="shared" si="34"/>
        <v/>
      </c>
      <c r="P38" s="19"/>
      <c r="Q38" s="19"/>
    </row>
    <row r="39" ht="15.75" customHeight="1">
      <c r="A39" s="15" t="s">
        <v>56</v>
      </c>
      <c r="B39" s="16">
        <v>1739.6</v>
      </c>
      <c r="C39" s="17">
        <v>2478.4</v>
      </c>
      <c r="D39" s="17">
        <v>2343.4</v>
      </c>
      <c r="E39" s="17">
        <v>951.1</v>
      </c>
      <c r="F39" s="17">
        <v>8240.5</v>
      </c>
      <c r="G39" s="17">
        <v>6532.1</v>
      </c>
      <c r="J39" s="15" t="s">
        <v>56</v>
      </c>
      <c r="K39" s="17">
        <f t="shared" ref="K39:O39" si="35">IFERROR((C39/$C39)*100, "")</f>
        <v>100</v>
      </c>
      <c r="L39" s="17">
        <f t="shared" si="35"/>
        <v>94.55293738</v>
      </c>
      <c r="M39" s="17">
        <f t="shared" si="35"/>
        <v>38.37556488</v>
      </c>
      <c r="N39" s="17">
        <f t="shared" si="35"/>
        <v>332.4927372</v>
      </c>
      <c r="O39" s="17">
        <f t="shared" si="35"/>
        <v>263.5611685</v>
      </c>
      <c r="P39" s="19"/>
      <c r="Q39" s="19"/>
    </row>
    <row r="40" ht="15.75" customHeight="1">
      <c r="A40" s="20" t="s">
        <v>57</v>
      </c>
      <c r="B40" s="21">
        <v>0.0</v>
      </c>
      <c r="C40" s="18">
        <v>0.0</v>
      </c>
      <c r="D40" s="18">
        <v>0.0</v>
      </c>
      <c r="E40" s="18">
        <v>0.0</v>
      </c>
      <c r="F40" s="18">
        <v>-1405.4</v>
      </c>
      <c r="G40" s="18">
        <v>0.0</v>
      </c>
      <c r="J40" s="20" t="s">
        <v>57</v>
      </c>
      <c r="K40" s="18" t="str">
        <f t="shared" ref="K40:O40" si="36">IFERROR((C40/$C40)*100, "")</f>
        <v/>
      </c>
      <c r="L40" s="18" t="str">
        <f t="shared" si="36"/>
        <v/>
      </c>
      <c r="M40" s="18" t="str">
        <f t="shared" si="36"/>
        <v/>
      </c>
      <c r="N40" s="18" t="str">
        <f t="shared" si="36"/>
        <v/>
      </c>
      <c r="O40" s="18" t="str">
        <f t="shared" si="36"/>
        <v/>
      </c>
      <c r="P40" s="19"/>
      <c r="Q40" s="19"/>
    </row>
    <row r="41" ht="15.75" customHeight="1">
      <c r="A41" s="20" t="s">
        <v>58</v>
      </c>
      <c r="B41" s="21">
        <v>0.0</v>
      </c>
      <c r="C41" s="18">
        <v>0.0</v>
      </c>
      <c r="D41" s="18">
        <v>0.0</v>
      </c>
      <c r="E41" s="18">
        <v>0.0</v>
      </c>
      <c r="F41" s="18">
        <v>-1405.4</v>
      </c>
      <c r="G41" s="18">
        <v>0.0</v>
      </c>
      <c r="J41" s="20" t="s">
        <v>58</v>
      </c>
      <c r="K41" s="18" t="str">
        <f t="shared" ref="K41:O41" si="37">IFERROR((C41/$C41)*100, "")</f>
        <v/>
      </c>
      <c r="L41" s="18" t="str">
        <f t="shared" si="37"/>
        <v/>
      </c>
      <c r="M41" s="18" t="str">
        <f t="shared" si="37"/>
        <v/>
      </c>
      <c r="N41" s="18" t="str">
        <f t="shared" si="37"/>
        <v/>
      </c>
      <c r="O41" s="18" t="str">
        <f t="shared" si="37"/>
        <v/>
      </c>
      <c r="P41" s="19"/>
      <c r="Q41" s="19"/>
    </row>
    <row r="42" ht="15.75" customHeight="1">
      <c r="A42" s="20" t="s">
        <v>59</v>
      </c>
      <c r="B42" s="21">
        <v>0.0</v>
      </c>
      <c r="C42" s="18">
        <v>0.0</v>
      </c>
      <c r="D42" s="18">
        <v>0.0</v>
      </c>
      <c r="E42" s="18">
        <v>0.0</v>
      </c>
      <c r="F42" s="18">
        <v>0.0</v>
      </c>
      <c r="G42" s="18">
        <v>0.0</v>
      </c>
      <c r="J42" s="20" t="s">
        <v>59</v>
      </c>
      <c r="K42" s="18" t="str">
        <f t="shared" ref="K42:O42" si="38">IFERROR((C42/$C42)*100, "")</f>
        <v/>
      </c>
      <c r="L42" s="18" t="str">
        <f t="shared" si="38"/>
        <v/>
      </c>
      <c r="M42" s="18" t="str">
        <f t="shared" si="38"/>
        <v/>
      </c>
      <c r="N42" s="18" t="str">
        <f t="shared" si="38"/>
        <v/>
      </c>
      <c r="O42" s="18" t="str">
        <f t="shared" si="38"/>
        <v/>
      </c>
      <c r="P42" s="19"/>
      <c r="Q42" s="19"/>
    </row>
    <row r="43" ht="15.75" customHeight="1">
      <c r="A43" s="15" t="s">
        <v>60</v>
      </c>
      <c r="B43" s="16">
        <v>1739.6</v>
      </c>
      <c r="C43" s="17">
        <v>2478.4</v>
      </c>
      <c r="D43" s="17">
        <v>2343.4</v>
      </c>
      <c r="E43" s="17">
        <v>951.1</v>
      </c>
      <c r="F43" s="17">
        <v>9645.9</v>
      </c>
      <c r="G43" s="17">
        <v>6532.1</v>
      </c>
      <c r="J43" s="15" t="s">
        <v>60</v>
      </c>
      <c r="K43" s="17">
        <f t="shared" ref="K43:O43" si="39">IFERROR((C43/$C43)*100, "")</f>
        <v>100</v>
      </c>
      <c r="L43" s="17">
        <f t="shared" si="39"/>
        <v>94.55293738</v>
      </c>
      <c r="M43" s="17">
        <f t="shared" si="39"/>
        <v>38.37556488</v>
      </c>
      <c r="N43" s="17">
        <f t="shared" si="39"/>
        <v>389.1986766</v>
      </c>
      <c r="O43" s="17">
        <f t="shared" si="39"/>
        <v>263.5611685</v>
      </c>
      <c r="P43" s="19"/>
      <c r="Q43" s="19"/>
    </row>
    <row r="44" ht="15.75" customHeight="1">
      <c r="A44" s="20" t="s">
        <v>61</v>
      </c>
      <c r="B44" s="21">
        <v>26.1</v>
      </c>
      <c r="C44" s="18">
        <v>58.8</v>
      </c>
      <c r="D44" s="18">
        <v>113.4</v>
      </c>
      <c r="E44" s="18">
        <v>-777.9</v>
      </c>
      <c r="F44" s="18">
        <v>388.7</v>
      </c>
      <c r="G44" s="18">
        <v>236.2</v>
      </c>
      <c r="J44" s="20" t="s">
        <v>61</v>
      </c>
      <c r="K44" s="18">
        <f t="shared" ref="K44:O44" si="40">IFERROR((C44/$C44)*100, "")</f>
        <v>100</v>
      </c>
      <c r="L44" s="18">
        <f t="shared" si="40"/>
        <v>192.8571429</v>
      </c>
      <c r="M44" s="18">
        <f t="shared" si="40"/>
        <v>-1322.959184</v>
      </c>
      <c r="N44" s="18">
        <f t="shared" si="40"/>
        <v>661.0544218</v>
      </c>
      <c r="O44" s="18">
        <f t="shared" si="40"/>
        <v>401.7006803</v>
      </c>
      <c r="P44" s="19"/>
      <c r="Q44" s="19"/>
    </row>
    <row r="45" ht="15.75" customHeight="1">
      <c r="A45" s="15" t="s">
        <v>62</v>
      </c>
      <c r="B45" s="16">
        <v>1713.5</v>
      </c>
      <c r="C45" s="17">
        <v>2419.6</v>
      </c>
      <c r="D45" s="17">
        <v>2230.0</v>
      </c>
      <c r="E45" s="17">
        <v>1729.0</v>
      </c>
      <c r="F45" s="17">
        <v>9257.2</v>
      </c>
      <c r="G45" s="17">
        <v>6295.9</v>
      </c>
      <c r="J45" s="15" t="s">
        <v>62</v>
      </c>
      <c r="K45" s="17">
        <f t="shared" ref="K45:O45" si="41">IFERROR((C45/$C45)*100, "")</f>
        <v>100</v>
      </c>
      <c r="L45" s="17">
        <f t="shared" si="41"/>
        <v>92.16399405</v>
      </c>
      <c r="M45" s="17">
        <f t="shared" si="41"/>
        <v>71.45809225</v>
      </c>
      <c r="N45" s="17">
        <f t="shared" si="41"/>
        <v>382.592164</v>
      </c>
      <c r="O45" s="17">
        <f t="shared" si="41"/>
        <v>260.204166</v>
      </c>
      <c r="P45" s="19"/>
      <c r="Q45" s="19"/>
    </row>
    <row r="46" ht="15.75" customHeight="1">
      <c r="A46" s="20" t="s">
        <v>63</v>
      </c>
      <c r="B46" s="21">
        <v>0.0</v>
      </c>
      <c r="C46" s="18">
        <v>0.0</v>
      </c>
      <c r="D46" s="18">
        <v>0.0</v>
      </c>
      <c r="E46" s="18">
        <v>0.0</v>
      </c>
      <c r="F46" s="18">
        <v>0.0</v>
      </c>
      <c r="G46" s="18">
        <v>0.0</v>
      </c>
      <c r="J46" s="20" t="s">
        <v>63</v>
      </c>
      <c r="K46" s="18" t="str">
        <f t="shared" ref="K46:O46" si="42">IFERROR((C46/$C46)*100, "")</f>
        <v/>
      </c>
      <c r="L46" s="18" t="str">
        <f t="shared" si="42"/>
        <v/>
      </c>
      <c r="M46" s="18" t="str">
        <f t="shared" si="42"/>
        <v/>
      </c>
      <c r="N46" s="18" t="str">
        <f t="shared" si="42"/>
        <v/>
      </c>
      <c r="O46" s="18" t="str">
        <f t="shared" si="42"/>
        <v/>
      </c>
      <c r="P46" s="19"/>
      <c r="Q46" s="19"/>
    </row>
    <row r="47" ht="15.75" customHeight="1">
      <c r="A47" s="20" t="s">
        <v>64</v>
      </c>
      <c r="B47" s="21">
        <v>0.0</v>
      </c>
      <c r="C47" s="18">
        <v>0.0</v>
      </c>
      <c r="D47" s="18">
        <v>0.0</v>
      </c>
      <c r="E47" s="18">
        <v>0.0</v>
      </c>
      <c r="F47" s="18">
        <v>0.0</v>
      </c>
      <c r="G47" s="18">
        <v>0.0</v>
      </c>
      <c r="J47" s="20" t="s">
        <v>64</v>
      </c>
      <c r="K47" s="18" t="str">
        <f t="shared" ref="K47:O47" si="43">IFERROR((C47/$C47)*100, "")</f>
        <v/>
      </c>
      <c r="L47" s="18" t="str">
        <f t="shared" si="43"/>
        <v/>
      </c>
      <c r="M47" s="18" t="str">
        <f t="shared" si="43"/>
        <v/>
      </c>
      <c r="N47" s="18" t="str">
        <f t="shared" si="43"/>
        <v/>
      </c>
      <c r="O47" s="18" t="str">
        <f t="shared" si="43"/>
        <v/>
      </c>
      <c r="P47" s="19"/>
      <c r="Q47" s="19"/>
    </row>
    <row r="48" ht="15.75" customHeight="1">
      <c r="A48" s="15" t="s">
        <v>65</v>
      </c>
      <c r="B48" s="16">
        <v>1713.5</v>
      </c>
      <c r="C48" s="17">
        <v>2419.6</v>
      </c>
      <c r="D48" s="17">
        <v>2230.0</v>
      </c>
      <c r="E48" s="17">
        <v>1729.0</v>
      </c>
      <c r="F48" s="17">
        <v>9257.2</v>
      </c>
      <c r="G48" s="17">
        <v>6295.9</v>
      </c>
      <c r="J48" s="15" t="s">
        <v>65</v>
      </c>
      <c r="K48" s="17">
        <f t="shared" ref="K48:O48" si="44">IFERROR((C48/$C48)*100, "")</f>
        <v>100</v>
      </c>
      <c r="L48" s="17">
        <f t="shared" si="44"/>
        <v>92.16399405</v>
      </c>
      <c r="M48" s="17">
        <f t="shared" si="44"/>
        <v>71.45809225</v>
      </c>
      <c r="N48" s="17">
        <f t="shared" si="44"/>
        <v>382.592164</v>
      </c>
      <c r="O48" s="17">
        <f t="shared" si="44"/>
        <v>260.204166</v>
      </c>
      <c r="P48" s="19"/>
      <c r="Q48" s="19"/>
    </row>
    <row r="49" ht="15.75" customHeight="1">
      <c r="A49" s="15"/>
      <c r="B49" s="25"/>
      <c r="C49" s="26"/>
      <c r="D49" s="26"/>
      <c r="E49" s="26"/>
      <c r="F49" s="26"/>
      <c r="G49" s="26"/>
      <c r="J49" s="15"/>
      <c r="K49" s="18" t="str">
        <f t="shared" ref="K49:O49" si="45">IFERROR((C49/$C49)*100, "")</f>
        <v/>
      </c>
      <c r="L49" s="18" t="str">
        <f t="shared" si="45"/>
        <v/>
      </c>
      <c r="M49" s="18" t="str">
        <f t="shared" si="45"/>
        <v/>
      </c>
      <c r="N49" s="18" t="str">
        <f t="shared" si="45"/>
        <v/>
      </c>
      <c r="O49" s="18" t="str">
        <f t="shared" si="45"/>
        <v/>
      </c>
      <c r="P49" s="19"/>
      <c r="Q49" s="19"/>
    </row>
    <row r="50" ht="15.75" customHeight="1">
      <c r="A50" s="15" t="s">
        <v>66</v>
      </c>
      <c r="B50" s="16">
        <v>1641.82</v>
      </c>
      <c r="C50" s="17">
        <v>2283.17</v>
      </c>
      <c r="D50" s="17">
        <v>2138.93</v>
      </c>
      <c r="E50" s="17">
        <v>1655.85</v>
      </c>
      <c r="F50" s="17">
        <v>8114.37</v>
      </c>
      <c r="G50" s="17">
        <v>6544.89</v>
      </c>
      <c r="J50" s="15" t="s">
        <v>66</v>
      </c>
      <c r="K50" s="17">
        <f t="shared" ref="K50:O50" si="46">IFERROR((C50/$C50)*100, "")</f>
        <v>100</v>
      </c>
      <c r="L50" s="17">
        <f t="shared" si="46"/>
        <v>93.6824678</v>
      </c>
      <c r="M50" s="17">
        <f t="shared" si="46"/>
        <v>72.52416596</v>
      </c>
      <c r="N50" s="17">
        <f t="shared" si="46"/>
        <v>355.3992913</v>
      </c>
      <c r="O50" s="17">
        <f t="shared" si="46"/>
        <v>286.6580237</v>
      </c>
      <c r="P50" s="19"/>
      <c r="Q50" s="19"/>
    </row>
    <row r="51" ht="15.75" customHeight="1">
      <c r="A51" s="20" t="s">
        <v>67</v>
      </c>
      <c r="B51" s="21">
        <v>-71.68</v>
      </c>
      <c r="C51" s="18">
        <v>-136.43</v>
      </c>
      <c r="D51" s="18">
        <v>-91.07</v>
      </c>
      <c r="E51" s="18">
        <v>-73.15</v>
      </c>
      <c r="F51" s="18">
        <v>262.57</v>
      </c>
      <c r="G51" s="18">
        <v>248.99</v>
      </c>
      <c r="J51" s="20" t="s">
        <v>67</v>
      </c>
      <c r="K51" s="18">
        <f t="shared" ref="K51:O51" si="47">IFERROR((C51/$C51)*100, "")</f>
        <v>100</v>
      </c>
      <c r="L51" s="18">
        <f t="shared" si="47"/>
        <v>66.75218061</v>
      </c>
      <c r="M51" s="18">
        <f t="shared" si="47"/>
        <v>53.61723961</v>
      </c>
      <c r="N51" s="18">
        <f t="shared" si="47"/>
        <v>-192.4576706</v>
      </c>
      <c r="O51" s="18">
        <f t="shared" si="47"/>
        <v>-182.5038481</v>
      </c>
      <c r="P51" s="19"/>
      <c r="Q51" s="19"/>
    </row>
    <row r="52" ht="15.75" customHeight="1">
      <c r="A52" s="20" t="s">
        <v>68</v>
      </c>
      <c r="B52" s="21">
        <v>0.0</v>
      </c>
      <c r="C52" s="18">
        <v>0.0</v>
      </c>
      <c r="D52" s="18">
        <v>0.0</v>
      </c>
      <c r="E52" s="18">
        <v>0.0</v>
      </c>
      <c r="F52" s="18">
        <v>-1405.4</v>
      </c>
      <c r="G52" s="18">
        <v>0.0</v>
      </c>
      <c r="J52" s="20" t="s">
        <v>68</v>
      </c>
      <c r="K52" s="18" t="str">
        <f t="shared" ref="K52:O52" si="48">IFERROR((C52/$C52)*100, "")</f>
        <v/>
      </c>
      <c r="L52" s="18" t="str">
        <f t="shared" si="48"/>
        <v/>
      </c>
      <c r="M52" s="18" t="str">
        <f t="shared" si="48"/>
        <v/>
      </c>
      <c r="N52" s="18" t="str">
        <f t="shared" si="48"/>
        <v/>
      </c>
      <c r="O52" s="18" t="str">
        <f t="shared" si="48"/>
        <v/>
      </c>
      <c r="P52" s="19"/>
      <c r="Q52" s="19"/>
    </row>
    <row r="53" ht="15.75" customHeight="1">
      <c r="A53" s="15"/>
      <c r="B53" s="25"/>
      <c r="C53" s="26"/>
      <c r="D53" s="26"/>
      <c r="E53" s="26"/>
      <c r="F53" s="26"/>
      <c r="G53" s="26"/>
      <c r="J53" s="15"/>
      <c r="K53" s="18" t="str">
        <f t="shared" ref="K53:O53" si="49">IFERROR((C53/$C53)*100, "")</f>
        <v/>
      </c>
      <c r="L53" s="18" t="str">
        <f t="shared" si="49"/>
        <v/>
      </c>
      <c r="M53" s="18" t="str">
        <f t="shared" si="49"/>
        <v/>
      </c>
      <c r="N53" s="18" t="str">
        <f t="shared" si="49"/>
        <v/>
      </c>
      <c r="O53" s="18" t="str">
        <f t="shared" si="49"/>
        <v/>
      </c>
      <c r="P53" s="19"/>
      <c r="Q53" s="19"/>
    </row>
    <row r="54" ht="15.75" customHeight="1">
      <c r="A54" s="20" t="s">
        <v>69</v>
      </c>
      <c r="B54" s="21">
        <v>245.6955</v>
      </c>
      <c r="C54" s="18">
        <v>245.6955</v>
      </c>
      <c r="D54" s="18">
        <v>245.7</v>
      </c>
      <c r="E54" s="18">
        <v>245.6955</v>
      </c>
      <c r="F54" s="18">
        <v>245.6955</v>
      </c>
      <c r="G54" s="18">
        <v>245.6955</v>
      </c>
      <c r="J54" s="20" t="s">
        <v>69</v>
      </c>
      <c r="K54" s="18">
        <f t="shared" ref="K54:O54" si="50">IFERROR((C54/$C54)*100, "")</f>
        <v>100</v>
      </c>
      <c r="L54" s="18">
        <f t="shared" si="50"/>
        <v>100.0018315</v>
      </c>
      <c r="M54" s="18">
        <f t="shared" si="50"/>
        <v>100</v>
      </c>
      <c r="N54" s="18">
        <f t="shared" si="50"/>
        <v>100</v>
      </c>
      <c r="O54" s="18">
        <f t="shared" si="50"/>
        <v>100</v>
      </c>
      <c r="P54" s="19"/>
      <c r="Q54" s="19"/>
    </row>
    <row r="55" ht="15.75" customHeight="1">
      <c r="A55" s="15" t="s">
        <v>70</v>
      </c>
      <c r="B55" s="27">
        <v>6.97</v>
      </c>
      <c r="C55" s="28">
        <v>9.85</v>
      </c>
      <c r="D55" s="28">
        <v>9.0761</v>
      </c>
      <c r="E55" s="28">
        <v>7.04</v>
      </c>
      <c r="F55" s="28">
        <v>37.68</v>
      </c>
      <c r="G55" s="28">
        <v>25.62</v>
      </c>
      <c r="J55" s="15" t="s">
        <v>70</v>
      </c>
      <c r="K55" s="17">
        <f t="shared" ref="K55:O55" si="51">IFERROR((C55/$C55)*100, "")</f>
        <v>100</v>
      </c>
      <c r="L55" s="17">
        <f t="shared" si="51"/>
        <v>92.14314721</v>
      </c>
      <c r="M55" s="17">
        <f t="shared" si="51"/>
        <v>71.47208122</v>
      </c>
      <c r="N55" s="17">
        <f t="shared" si="51"/>
        <v>382.5380711</v>
      </c>
      <c r="O55" s="17">
        <f t="shared" si="51"/>
        <v>260.1015228</v>
      </c>
      <c r="P55" s="19"/>
      <c r="Q55" s="19"/>
    </row>
    <row r="56" ht="15.75" customHeight="1">
      <c r="A56" s="15" t="s">
        <v>71</v>
      </c>
      <c r="B56" s="27">
        <v>6.97</v>
      </c>
      <c r="C56" s="28">
        <v>9.85</v>
      </c>
      <c r="D56" s="28">
        <v>9.0761</v>
      </c>
      <c r="E56" s="28">
        <v>7.04</v>
      </c>
      <c r="F56" s="28">
        <v>31.96</v>
      </c>
      <c r="G56" s="28">
        <v>25.62</v>
      </c>
      <c r="J56" s="15" t="s">
        <v>71</v>
      </c>
      <c r="K56" s="17">
        <f t="shared" ref="K56:O56" si="52">IFERROR((C56/$C56)*100, "")</f>
        <v>100</v>
      </c>
      <c r="L56" s="17">
        <f t="shared" si="52"/>
        <v>92.14314721</v>
      </c>
      <c r="M56" s="17">
        <f t="shared" si="52"/>
        <v>71.47208122</v>
      </c>
      <c r="N56" s="17">
        <f t="shared" si="52"/>
        <v>324.4670051</v>
      </c>
      <c r="O56" s="17">
        <f t="shared" si="52"/>
        <v>260.1015228</v>
      </c>
      <c r="P56" s="19"/>
      <c r="Q56" s="19"/>
    </row>
    <row r="57" ht="15.75" customHeight="1">
      <c r="A57" s="15" t="s">
        <v>72</v>
      </c>
      <c r="B57" s="27">
        <v>6.6823</v>
      </c>
      <c r="C57" s="28">
        <v>9.2927</v>
      </c>
      <c r="D57" s="28">
        <v>8.7055</v>
      </c>
      <c r="E57" s="28">
        <v>6.7394</v>
      </c>
      <c r="F57" s="28">
        <v>33.0262</v>
      </c>
      <c r="G57" s="28">
        <v>26.6382</v>
      </c>
      <c r="J57" s="15" t="s">
        <v>72</v>
      </c>
      <c r="K57" s="17">
        <f t="shared" ref="K57:O57" si="53">IFERROR((C57/$C57)*100, "")</f>
        <v>100</v>
      </c>
      <c r="L57" s="17">
        <f t="shared" si="53"/>
        <v>93.68106148</v>
      </c>
      <c r="M57" s="17">
        <f t="shared" si="53"/>
        <v>72.52359379</v>
      </c>
      <c r="N57" s="17">
        <f t="shared" si="53"/>
        <v>355.3993995</v>
      </c>
      <c r="O57" s="17">
        <f t="shared" si="53"/>
        <v>286.6572686</v>
      </c>
      <c r="P57" s="19"/>
      <c r="Q57" s="19"/>
    </row>
    <row r="58" ht="15.75" customHeight="1">
      <c r="A58" s="15"/>
      <c r="B58" s="25"/>
      <c r="C58" s="26"/>
      <c r="D58" s="26"/>
      <c r="E58" s="26"/>
      <c r="F58" s="26"/>
      <c r="G58" s="26"/>
      <c r="J58" s="15"/>
      <c r="K58" s="18" t="str">
        <f t="shared" ref="K58:O58" si="54">IFERROR((C58/$C58)*100, "")</f>
        <v/>
      </c>
      <c r="L58" s="18" t="str">
        <f t="shared" si="54"/>
        <v/>
      </c>
      <c r="M58" s="18" t="str">
        <f t="shared" si="54"/>
        <v/>
      </c>
      <c r="N58" s="18" t="str">
        <f t="shared" si="54"/>
        <v/>
      </c>
      <c r="O58" s="18" t="str">
        <f t="shared" si="54"/>
        <v/>
      </c>
      <c r="P58" s="19"/>
      <c r="Q58" s="19"/>
    </row>
    <row r="59" ht="15.75" customHeight="1">
      <c r="A59" s="20" t="s">
        <v>73</v>
      </c>
      <c r="B59" s="21">
        <v>245.6955</v>
      </c>
      <c r="C59" s="18">
        <v>245.6955</v>
      </c>
      <c r="D59" s="18">
        <v>245.7</v>
      </c>
      <c r="E59" s="18">
        <v>245.6955</v>
      </c>
      <c r="F59" s="18">
        <v>245.6955</v>
      </c>
      <c r="G59" s="18">
        <v>245.6955</v>
      </c>
      <c r="J59" s="20" t="s">
        <v>73</v>
      </c>
      <c r="K59" s="18">
        <f t="shared" ref="K59:O59" si="55">IFERROR((C59/$C59)*100, "")</f>
        <v>100</v>
      </c>
      <c r="L59" s="18">
        <f t="shared" si="55"/>
        <v>100.0018315</v>
      </c>
      <c r="M59" s="18">
        <f t="shared" si="55"/>
        <v>100</v>
      </c>
      <c r="N59" s="18">
        <f t="shared" si="55"/>
        <v>100</v>
      </c>
      <c r="O59" s="18">
        <f t="shared" si="55"/>
        <v>100</v>
      </c>
      <c r="P59" s="19"/>
      <c r="Q59" s="19"/>
    </row>
    <row r="60" ht="15.75" customHeight="1">
      <c r="A60" s="15" t="s">
        <v>74</v>
      </c>
      <c r="B60" s="27">
        <v>6.97</v>
      </c>
      <c r="C60" s="28">
        <v>9.85</v>
      </c>
      <c r="D60" s="28">
        <v>9.0761</v>
      </c>
      <c r="E60" s="28">
        <v>7.04</v>
      </c>
      <c r="F60" s="28">
        <v>37.68</v>
      </c>
      <c r="G60" s="28">
        <v>25.62</v>
      </c>
      <c r="J60" s="15" t="s">
        <v>74</v>
      </c>
      <c r="K60" s="17">
        <f t="shared" ref="K60:O60" si="56">IFERROR((C60/$C60)*100, "")</f>
        <v>100</v>
      </c>
      <c r="L60" s="17">
        <f t="shared" si="56"/>
        <v>92.14314721</v>
      </c>
      <c r="M60" s="17">
        <f t="shared" si="56"/>
        <v>71.47208122</v>
      </c>
      <c r="N60" s="17">
        <f t="shared" si="56"/>
        <v>382.5380711</v>
      </c>
      <c r="O60" s="17">
        <f t="shared" si="56"/>
        <v>260.1015228</v>
      </c>
      <c r="P60" s="19"/>
      <c r="Q60" s="19"/>
    </row>
    <row r="61" ht="15.75" customHeight="1">
      <c r="A61" s="15" t="s">
        <v>75</v>
      </c>
      <c r="B61" s="27">
        <v>6.97</v>
      </c>
      <c r="C61" s="28">
        <v>9.85</v>
      </c>
      <c r="D61" s="28">
        <v>9.0761</v>
      </c>
      <c r="E61" s="28">
        <v>7.04</v>
      </c>
      <c r="F61" s="28">
        <v>31.96</v>
      </c>
      <c r="G61" s="28">
        <v>25.62</v>
      </c>
      <c r="J61" s="15" t="s">
        <v>75</v>
      </c>
      <c r="K61" s="17">
        <f t="shared" ref="K61:O61" si="57">IFERROR((C61/$C61)*100, "")</f>
        <v>100</v>
      </c>
      <c r="L61" s="17">
        <f t="shared" si="57"/>
        <v>92.14314721</v>
      </c>
      <c r="M61" s="17">
        <f t="shared" si="57"/>
        <v>71.47208122</v>
      </c>
      <c r="N61" s="17">
        <f t="shared" si="57"/>
        <v>324.4670051</v>
      </c>
      <c r="O61" s="17">
        <f t="shared" si="57"/>
        <v>260.1015228</v>
      </c>
      <c r="P61" s="19"/>
      <c r="Q61" s="19"/>
    </row>
    <row r="62" ht="15.75" customHeight="1">
      <c r="A62" s="15" t="s">
        <v>76</v>
      </c>
      <c r="B62" s="27">
        <v>6.6823</v>
      </c>
      <c r="C62" s="28">
        <v>9.2927</v>
      </c>
      <c r="D62" s="28">
        <v>8.7055</v>
      </c>
      <c r="E62" s="28">
        <v>6.7394</v>
      </c>
      <c r="F62" s="28">
        <v>33.0262</v>
      </c>
      <c r="G62" s="28">
        <v>26.6382</v>
      </c>
      <c r="J62" s="15" t="s">
        <v>76</v>
      </c>
      <c r="K62" s="17">
        <f t="shared" ref="K62:O62" si="58">IFERROR((C62/$C62)*100, "")</f>
        <v>100</v>
      </c>
      <c r="L62" s="17">
        <f t="shared" si="58"/>
        <v>93.68106148</v>
      </c>
      <c r="M62" s="17">
        <f t="shared" si="58"/>
        <v>72.52359379</v>
      </c>
      <c r="N62" s="17">
        <f t="shared" si="58"/>
        <v>355.3993995</v>
      </c>
      <c r="O62" s="17">
        <f t="shared" si="58"/>
        <v>286.6572686</v>
      </c>
      <c r="P62" s="19"/>
      <c r="Q62" s="19"/>
    </row>
    <row r="63" ht="15.75" customHeight="1">
      <c r="A63" s="15"/>
      <c r="B63" s="29"/>
      <c r="C63" s="26"/>
      <c r="D63" s="26"/>
      <c r="E63" s="26"/>
      <c r="F63" s="26"/>
      <c r="G63" s="26"/>
      <c r="J63" s="30"/>
      <c r="K63" s="31" t="str">
        <f t="shared" ref="K63:O63" si="59">IFERROR((C63/$C63)*100, "")</f>
        <v/>
      </c>
      <c r="L63" s="31" t="str">
        <f t="shared" si="59"/>
        <v/>
      </c>
      <c r="M63" s="31" t="str">
        <f t="shared" si="59"/>
        <v/>
      </c>
      <c r="N63" s="31" t="str">
        <f t="shared" si="59"/>
        <v/>
      </c>
      <c r="O63" s="31" t="str">
        <f t="shared" si="59"/>
        <v/>
      </c>
      <c r="P63" s="19"/>
      <c r="Q63" s="19"/>
    </row>
    <row r="64" ht="15.75" customHeight="1">
      <c r="A64" s="32"/>
      <c r="B64" s="33"/>
      <c r="C64" s="32"/>
      <c r="D64" s="32"/>
      <c r="E64" s="32"/>
      <c r="F64" s="32"/>
      <c r="G64" s="32"/>
    </row>
    <row r="65" ht="15.75" customHeight="1"/>
    <row r="66">
      <c r="A66" s="2" t="s">
        <v>77</v>
      </c>
      <c r="B66" s="3"/>
      <c r="C66" s="3"/>
      <c r="D66" s="3"/>
      <c r="E66" s="3"/>
      <c r="F66" s="3"/>
      <c r="G66" s="3"/>
      <c r="H66" s="4"/>
      <c r="I66" s="4"/>
      <c r="J66" s="4"/>
      <c r="K66" s="4"/>
      <c r="L66" s="4"/>
      <c r="M66" s="4"/>
      <c r="N66" s="4"/>
      <c r="O66" s="4"/>
      <c r="P66" s="4"/>
      <c r="Q66" s="4"/>
    </row>
    <row r="67" ht="15.75" customHeight="1"/>
    <row r="68" ht="15.75" customHeight="1">
      <c r="A68" s="8" t="s">
        <v>7</v>
      </c>
      <c r="B68" s="34" t="s">
        <v>8</v>
      </c>
      <c r="C68" s="10" t="s">
        <v>9</v>
      </c>
      <c r="D68" s="10" t="s">
        <v>10</v>
      </c>
      <c r="E68" s="10" t="s">
        <v>11</v>
      </c>
      <c r="F68" s="10" t="s">
        <v>12</v>
      </c>
      <c r="G68" s="10" t="s">
        <v>13</v>
      </c>
      <c r="J68" s="8" t="s">
        <v>7</v>
      </c>
      <c r="K68" s="10" t="s">
        <v>9</v>
      </c>
      <c r="L68" s="10" t="s">
        <v>10</v>
      </c>
      <c r="M68" s="10" t="s">
        <v>11</v>
      </c>
      <c r="N68" s="10" t="s">
        <v>12</v>
      </c>
      <c r="O68" s="10" t="s">
        <v>13</v>
      </c>
      <c r="P68" s="35"/>
      <c r="Q68" s="35"/>
    </row>
    <row r="69" ht="15.75" customHeight="1">
      <c r="A69" s="12" t="s">
        <v>14</v>
      </c>
      <c r="B69" s="36" t="s">
        <v>15</v>
      </c>
      <c r="C69" s="14" t="s">
        <v>16</v>
      </c>
      <c r="D69" s="14" t="s">
        <v>17</v>
      </c>
      <c r="E69" s="14" t="s">
        <v>18</v>
      </c>
      <c r="F69" s="14" t="s">
        <v>19</v>
      </c>
      <c r="G69" s="14" t="s">
        <v>20</v>
      </c>
      <c r="J69" s="12" t="s">
        <v>14</v>
      </c>
      <c r="K69" s="14" t="s">
        <v>16</v>
      </c>
      <c r="L69" s="14" t="s">
        <v>17</v>
      </c>
      <c r="M69" s="14" t="s">
        <v>18</v>
      </c>
      <c r="N69" s="14" t="s">
        <v>19</v>
      </c>
      <c r="O69" s="14" t="s">
        <v>20</v>
      </c>
      <c r="P69" s="35"/>
      <c r="Q69" s="35"/>
    </row>
    <row r="70" ht="15.75" customHeight="1">
      <c r="A70" s="15" t="s">
        <v>78</v>
      </c>
      <c r="B70" s="37"/>
      <c r="C70" s="26"/>
      <c r="D70" s="26"/>
      <c r="E70" s="26"/>
      <c r="F70" s="26"/>
      <c r="G70" s="26"/>
      <c r="J70" s="15" t="s">
        <v>78</v>
      </c>
      <c r="K70" s="38"/>
      <c r="L70" s="38"/>
      <c r="M70" s="38"/>
      <c r="N70" s="38"/>
      <c r="O70" s="38"/>
      <c r="P70" s="39"/>
      <c r="Q70" s="39"/>
    </row>
    <row r="71" ht="15.75" customHeight="1">
      <c r="A71" s="20" t="s">
        <v>79</v>
      </c>
      <c r="B71" s="40">
        <v>3545.7</v>
      </c>
      <c r="C71" s="18">
        <v>2651.3</v>
      </c>
      <c r="D71" s="18">
        <v>3070.3</v>
      </c>
      <c r="E71" s="18">
        <v>4123.6</v>
      </c>
      <c r="F71" s="18">
        <v>7903.1</v>
      </c>
      <c r="G71" s="18">
        <v>14794.2</v>
      </c>
      <c r="J71" s="41" t="s">
        <v>79</v>
      </c>
      <c r="K71" s="42">
        <f t="shared" ref="K71:O71" si="60">IFERROR(C71/$C71*100, "")</f>
        <v>100</v>
      </c>
      <c r="L71" s="42">
        <f t="shared" si="60"/>
        <v>115.8035681</v>
      </c>
      <c r="M71" s="42">
        <f t="shared" si="60"/>
        <v>155.5312488</v>
      </c>
      <c r="N71" s="42">
        <f t="shared" si="60"/>
        <v>298.0839588</v>
      </c>
      <c r="O71" s="42">
        <f t="shared" si="60"/>
        <v>557.9979633</v>
      </c>
      <c r="P71" s="43"/>
      <c r="Q71" s="43"/>
    </row>
    <row r="72" ht="15.75" customHeight="1">
      <c r="A72" s="20" t="s">
        <v>80</v>
      </c>
      <c r="B72" s="40">
        <v>2439.4</v>
      </c>
      <c r="C72" s="18">
        <v>2400.2</v>
      </c>
      <c r="D72" s="18">
        <v>2999.8</v>
      </c>
      <c r="E72" s="18">
        <v>3812.2</v>
      </c>
      <c r="F72" s="18">
        <v>6443.5</v>
      </c>
      <c r="G72" s="18">
        <v>13087.6</v>
      </c>
      <c r="J72" s="41" t="s">
        <v>80</v>
      </c>
      <c r="K72" s="42">
        <f t="shared" ref="K72:O72" si="61">IFERROR(C72/$C72*100, "")</f>
        <v>100</v>
      </c>
      <c r="L72" s="42">
        <f t="shared" si="61"/>
        <v>124.9812516</v>
      </c>
      <c r="M72" s="42">
        <f t="shared" si="61"/>
        <v>158.828431</v>
      </c>
      <c r="N72" s="42">
        <f t="shared" si="61"/>
        <v>268.4567953</v>
      </c>
      <c r="O72" s="42">
        <f t="shared" si="61"/>
        <v>545.2712274</v>
      </c>
      <c r="P72" s="43"/>
      <c r="Q72" s="43"/>
    </row>
    <row r="73" ht="15.75" customHeight="1">
      <c r="A73" s="20" t="s">
        <v>81</v>
      </c>
      <c r="B73" s="40">
        <v>1106.3</v>
      </c>
      <c r="C73" s="18">
        <v>251.1</v>
      </c>
      <c r="D73" s="18">
        <v>70.5</v>
      </c>
      <c r="E73" s="18">
        <v>311.4</v>
      </c>
      <c r="F73" s="18">
        <v>1459.6</v>
      </c>
      <c r="G73" s="18">
        <v>1706.6</v>
      </c>
      <c r="J73" s="41" t="s">
        <v>81</v>
      </c>
      <c r="K73" s="42">
        <f t="shared" ref="K73:O73" si="62">IFERROR(C73/$C73*100, "")</f>
        <v>100</v>
      </c>
      <c r="L73" s="42">
        <f t="shared" si="62"/>
        <v>28.07646356</v>
      </c>
      <c r="M73" s="42">
        <f t="shared" si="62"/>
        <v>124.0143369</v>
      </c>
      <c r="N73" s="42">
        <f t="shared" si="62"/>
        <v>581.2823576</v>
      </c>
      <c r="O73" s="42">
        <f t="shared" si="62"/>
        <v>679.649542</v>
      </c>
      <c r="P73" s="43"/>
      <c r="Q73" s="43"/>
    </row>
    <row r="74" ht="15.75" customHeight="1">
      <c r="A74" s="20" t="s">
        <v>82</v>
      </c>
      <c r="B74" s="40">
        <v>8386.3</v>
      </c>
      <c r="C74" s="18">
        <v>9421.5</v>
      </c>
      <c r="D74" s="18">
        <v>11500.9</v>
      </c>
      <c r="E74" s="18">
        <v>21757.0</v>
      </c>
      <c r="F74" s="18">
        <v>30762.5</v>
      </c>
      <c r="G74" s="18">
        <v>20380.5</v>
      </c>
      <c r="J74" s="41" t="s">
        <v>82</v>
      </c>
      <c r="K74" s="42">
        <f t="shared" ref="K74:O74" si="63">IFERROR(C74/$C74*100, "")</f>
        <v>100</v>
      </c>
      <c r="L74" s="42">
        <f t="shared" si="63"/>
        <v>122.0707955</v>
      </c>
      <c r="M74" s="42">
        <f t="shared" si="63"/>
        <v>230.9292575</v>
      </c>
      <c r="N74" s="42">
        <f t="shared" si="63"/>
        <v>326.5138248</v>
      </c>
      <c r="O74" s="42">
        <f t="shared" si="63"/>
        <v>216.3190575</v>
      </c>
      <c r="P74" s="43"/>
      <c r="Q74" s="43"/>
    </row>
    <row r="75" ht="15.75" customHeight="1">
      <c r="A75" s="20" t="s">
        <v>83</v>
      </c>
      <c r="B75" s="40">
        <v>8386.3</v>
      </c>
      <c r="C75" s="18">
        <v>9421.5</v>
      </c>
      <c r="D75" s="18">
        <v>11500.9</v>
      </c>
      <c r="E75" s="18">
        <v>21757.0</v>
      </c>
      <c r="F75" s="18">
        <v>30762.5</v>
      </c>
      <c r="G75" s="18">
        <v>20380.5</v>
      </c>
      <c r="J75" s="41" t="s">
        <v>83</v>
      </c>
      <c r="K75" s="42">
        <f t="shared" ref="K75:O75" si="64">IFERROR(C75/$C75*100, "")</f>
        <v>100</v>
      </c>
      <c r="L75" s="42">
        <f t="shared" si="64"/>
        <v>122.0707955</v>
      </c>
      <c r="M75" s="42">
        <f t="shared" si="64"/>
        <v>230.9292575</v>
      </c>
      <c r="N75" s="42">
        <f t="shared" si="64"/>
        <v>326.5138248</v>
      </c>
      <c r="O75" s="42">
        <f t="shared" si="64"/>
        <v>216.3190575</v>
      </c>
      <c r="P75" s="43"/>
      <c r="Q75" s="43"/>
    </row>
    <row r="76" ht="15.75" customHeight="1">
      <c r="A76" s="20" t="s">
        <v>84</v>
      </c>
      <c r="B76" s="40">
        <v>0.0</v>
      </c>
      <c r="C76" s="18">
        <v>0.0</v>
      </c>
      <c r="D76" s="18">
        <v>0.0</v>
      </c>
      <c r="E76" s="18">
        <v>0.0</v>
      </c>
      <c r="F76" s="18">
        <v>0.0</v>
      </c>
      <c r="G76" s="18">
        <v>0.0</v>
      </c>
      <c r="J76" s="41" t="s">
        <v>84</v>
      </c>
      <c r="K76" s="42" t="str">
        <f t="shared" ref="K76:O76" si="65">IFERROR(C76/$C76*100, "")</f>
        <v/>
      </c>
      <c r="L76" s="42" t="str">
        <f t="shared" si="65"/>
        <v/>
      </c>
      <c r="M76" s="42" t="str">
        <f t="shared" si="65"/>
        <v/>
      </c>
      <c r="N76" s="42" t="str">
        <f t="shared" si="65"/>
        <v/>
      </c>
      <c r="O76" s="42" t="str">
        <f t="shared" si="65"/>
        <v/>
      </c>
      <c r="P76" s="43"/>
      <c r="Q76" s="43"/>
    </row>
    <row r="77" ht="15.75" customHeight="1">
      <c r="A77" s="20" t="s">
        <v>85</v>
      </c>
      <c r="B77" s="40">
        <v>0.0</v>
      </c>
      <c r="C77" s="18" t="s">
        <v>26</v>
      </c>
      <c r="D77" s="18" t="s">
        <v>26</v>
      </c>
      <c r="E77" s="18">
        <v>4231.1</v>
      </c>
      <c r="F77" s="18">
        <v>7093.2</v>
      </c>
      <c r="G77" s="18">
        <v>4231.8</v>
      </c>
      <c r="J77" s="41" t="s">
        <v>85</v>
      </c>
      <c r="K77" s="42" t="str">
        <f t="shared" ref="K77:O77" si="66">IFERROR(C77/$C77*100, "")</f>
        <v/>
      </c>
      <c r="L77" s="42" t="str">
        <f t="shared" si="66"/>
        <v/>
      </c>
      <c r="M77" s="42" t="str">
        <f t="shared" si="66"/>
        <v/>
      </c>
      <c r="N77" s="42" t="str">
        <f t="shared" si="66"/>
        <v/>
      </c>
      <c r="O77" s="42" t="str">
        <f t="shared" si="66"/>
        <v/>
      </c>
      <c r="P77" s="43"/>
      <c r="Q77" s="43"/>
    </row>
    <row r="78" ht="15.75" customHeight="1">
      <c r="A78" s="20" t="s">
        <v>86</v>
      </c>
      <c r="B78" s="40">
        <v>95.8</v>
      </c>
      <c r="C78" s="18">
        <v>88.8</v>
      </c>
      <c r="D78" s="18">
        <v>77.6</v>
      </c>
      <c r="E78" s="18">
        <v>97.1</v>
      </c>
      <c r="F78" s="18">
        <v>57.1</v>
      </c>
      <c r="G78" s="18">
        <v>24.4</v>
      </c>
      <c r="J78" s="41" t="s">
        <v>86</v>
      </c>
      <c r="K78" s="42">
        <f t="shared" ref="K78:O78" si="67">IFERROR(C78/$C78*100, "")</f>
        <v>100</v>
      </c>
      <c r="L78" s="42">
        <f t="shared" si="67"/>
        <v>87.38738739</v>
      </c>
      <c r="M78" s="42">
        <f t="shared" si="67"/>
        <v>109.3468468</v>
      </c>
      <c r="N78" s="42">
        <f t="shared" si="67"/>
        <v>64.3018018</v>
      </c>
      <c r="O78" s="42">
        <f t="shared" si="67"/>
        <v>27.47747748</v>
      </c>
      <c r="P78" s="43"/>
      <c r="Q78" s="43"/>
    </row>
    <row r="79" ht="15.75" customHeight="1">
      <c r="A79" s="20" t="s">
        <v>87</v>
      </c>
      <c r="B79" s="40">
        <v>0.5</v>
      </c>
      <c r="C79" s="18">
        <v>0.0</v>
      </c>
      <c r="D79" s="18">
        <v>0.0</v>
      </c>
      <c r="E79" s="18">
        <v>0.0</v>
      </c>
      <c r="F79" s="18">
        <v>0.0</v>
      </c>
      <c r="G79" s="18">
        <v>0.0</v>
      </c>
      <c r="J79" s="41" t="s">
        <v>87</v>
      </c>
      <c r="K79" s="42" t="str">
        <f t="shared" ref="K79:O79" si="68">IFERROR(C79/$C79*100, "")</f>
        <v/>
      </c>
      <c r="L79" s="42" t="str">
        <f t="shared" si="68"/>
        <v/>
      </c>
      <c r="M79" s="42" t="str">
        <f t="shared" si="68"/>
        <v/>
      </c>
      <c r="N79" s="42" t="str">
        <f t="shared" si="68"/>
        <v/>
      </c>
      <c r="O79" s="42" t="str">
        <f t="shared" si="68"/>
        <v/>
      </c>
      <c r="P79" s="43"/>
      <c r="Q79" s="43"/>
    </row>
    <row r="80" ht="15.75" customHeight="1">
      <c r="A80" s="20" t="s">
        <v>88</v>
      </c>
      <c r="B80" s="40">
        <v>0.0</v>
      </c>
      <c r="C80" s="18">
        <v>0.0</v>
      </c>
      <c r="D80" s="18">
        <v>0.0</v>
      </c>
      <c r="E80" s="18">
        <v>0.0</v>
      </c>
      <c r="F80" s="18">
        <v>0.0</v>
      </c>
      <c r="G80" s="18">
        <v>0.0</v>
      </c>
      <c r="J80" s="41" t="s">
        <v>88</v>
      </c>
      <c r="K80" s="42" t="str">
        <f t="shared" ref="K80:O80" si="69">IFERROR(C80/$C80*100, "")</f>
        <v/>
      </c>
      <c r="L80" s="42" t="str">
        <f t="shared" si="69"/>
        <v/>
      </c>
      <c r="M80" s="42" t="str">
        <f t="shared" si="69"/>
        <v/>
      </c>
      <c r="N80" s="42" t="str">
        <f t="shared" si="69"/>
        <v/>
      </c>
      <c r="O80" s="42" t="str">
        <f t="shared" si="69"/>
        <v/>
      </c>
      <c r="P80" s="43"/>
      <c r="Q80" s="43"/>
    </row>
    <row r="81" ht="15.75" customHeight="1">
      <c r="A81" s="20" t="s">
        <v>89</v>
      </c>
      <c r="B81" s="40">
        <v>0.0</v>
      </c>
      <c r="C81" s="18">
        <v>88.8</v>
      </c>
      <c r="D81" s="18">
        <v>77.6</v>
      </c>
      <c r="E81" s="18">
        <v>37.5</v>
      </c>
      <c r="F81" s="18">
        <v>29.2</v>
      </c>
      <c r="G81" s="18">
        <v>24.4</v>
      </c>
      <c r="J81" s="41" t="s">
        <v>89</v>
      </c>
      <c r="K81" s="42">
        <f t="shared" ref="K81:O81" si="70">IFERROR(C81/$C81*100, "")</f>
        <v>100</v>
      </c>
      <c r="L81" s="42">
        <f t="shared" si="70"/>
        <v>87.38738739</v>
      </c>
      <c r="M81" s="42">
        <f t="shared" si="70"/>
        <v>42.22972973</v>
      </c>
      <c r="N81" s="42">
        <f t="shared" si="70"/>
        <v>32.88288288</v>
      </c>
      <c r="O81" s="42">
        <f t="shared" si="70"/>
        <v>27.47747748</v>
      </c>
      <c r="P81" s="43"/>
      <c r="Q81" s="43"/>
    </row>
    <row r="82" ht="15.75" customHeight="1">
      <c r="A82" s="20" t="s">
        <v>90</v>
      </c>
      <c r="B82" s="40">
        <v>95.3</v>
      </c>
      <c r="C82" s="18">
        <v>0.0</v>
      </c>
      <c r="D82" s="18">
        <v>0.0</v>
      </c>
      <c r="E82" s="18">
        <v>59.6</v>
      </c>
      <c r="F82" s="18">
        <v>27.9</v>
      </c>
      <c r="G82" s="18">
        <v>0.0</v>
      </c>
      <c r="J82" s="41" t="s">
        <v>90</v>
      </c>
      <c r="K82" s="42" t="str">
        <f t="shared" ref="K82:O82" si="71">IFERROR(C82/$C82*100, "")</f>
        <v/>
      </c>
      <c r="L82" s="42" t="str">
        <f t="shared" si="71"/>
        <v/>
      </c>
      <c r="M82" s="42" t="str">
        <f t="shared" si="71"/>
        <v/>
      </c>
      <c r="N82" s="42" t="str">
        <f t="shared" si="71"/>
        <v/>
      </c>
      <c r="O82" s="42" t="str">
        <f t="shared" si="71"/>
        <v/>
      </c>
      <c r="P82" s="43"/>
      <c r="Q82" s="43"/>
    </row>
    <row r="83" ht="15.75" customHeight="1">
      <c r="A83" s="20" t="s">
        <v>91</v>
      </c>
      <c r="B83" s="40">
        <v>2079.7</v>
      </c>
      <c r="C83" s="18">
        <v>4567.9</v>
      </c>
      <c r="D83" s="18">
        <v>8224.5</v>
      </c>
      <c r="E83" s="18">
        <v>4946.7</v>
      </c>
      <c r="F83" s="18">
        <v>6987.1</v>
      </c>
      <c r="G83" s="18">
        <v>4944.5</v>
      </c>
      <c r="J83" s="41" t="s">
        <v>91</v>
      </c>
      <c r="K83" s="42">
        <f t="shared" ref="K83:O83" si="72">IFERROR(C83/$C83*100, "")</f>
        <v>100</v>
      </c>
      <c r="L83" s="42">
        <f t="shared" si="72"/>
        <v>180.0499135</v>
      </c>
      <c r="M83" s="42">
        <f t="shared" si="72"/>
        <v>108.2926509</v>
      </c>
      <c r="N83" s="42">
        <f t="shared" si="72"/>
        <v>152.9608792</v>
      </c>
      <c r="O83" s="42">
        <f t="shared" si="72"/>
        <v>108.2444887</v>
      </c>
      <c r="P83" s="43"/>
      <c r="Q83" s="43"/>
    </row>
    <row r="84" ht="15.75" customHeight="1">
      <c r="A84" s="20" t="s">
        <v>92</v>
      </c>
      <c r="B84" s="40">
        <v>608.7</v>
      </c>
      <c r="C84" s="18">
        <v>1139.6</v>
      </c>
      <c r="D84" s="18">
        <v>998.3</v>
      </c>
      <c r="E84" s="18">
        <v>1077.4</v>
      </c>
      <c r="F84" s="18">
        <v>2464.8</v>
      </c>
      <c r="G84" s="18">
        <v>1573.2</v>
      </c>
      <c r="J84" s="41" t="s">
        <v>92</v>
      </c>
      <c r="K84" s="42">
        <f t="shared" ref="K84:O84" si="73">IFERROR(C84/$C84*100, "")</f>
        <v>100</v>
      </c>
      <c r="L84" s="42">
        <f t="shared" si="73"/>
        <v>87.6009126</v>
      </c>
      <c r="M84" s="42">
        <f t="shared" si="73"/>
        <v>94.54194454</v>
      </c>
      <c r="N84" s="42">
        <f t="shared" si="73"/>
        <v>216.2864163</v>
      </c>
      <c r="O84" s="42">
        <f t="shared" si="73"/>
        <v>138.048438</v>
      </c>
      <c r="P84" s="43"/>
      <c r="Q84" s="43"/>
    </row>
    <row r="85" ht="15.75" customHeight="1">
      <c r="A85" s="20" t="s">
        <v>93</v>
      </c>
      <c r="B85" s="40">
        <v>0.0</v>
      </c>
      <c r="C85" s="18">
        <v>0.0</v>
      </c>
      <c r="D85" s="18">
        <v>0.0</v>
      </c>
      <c r="E85" s="18">
        <v>0.0</v>
      </c>
      <c r="F85" s="18">
        <v>0.0</v>
      </c>
      <c r="G85" s="18" t="s">
        <v>26</v>
      </c>
      <c r="J85" s="41" t="s">
        <v>93</v>
      </c>
      <c r="K85" s="42" t="str">
        <f t="shared" ref="K85:O85" si="74">IFERROR(C85/$C85*100, "")</f>
        <v/>
      </c>
      <c r="L85" s="42" t="str">
        <f t="shared" si="74"/>
        <v/>
      </c>
      <c r="M85" s="42" t="str">
        <f t="shared" si="74"/>
        <v/>
      </c>
      <c r="N85" s="42" t="str">
        <f t="shared" si="74"/>
        <v/>
      </c>
      <c r="O85" s="42" t="str">
        <f t="shared" si="74"/>
        <v/>
      </c>
      <c r="P85" s="43"/>
      <c r="Q85" s="43"/>
    </row>
    <row r="86" ht="15.75" customHeight="1">
      <c r="A86" s="20" t="s">
        <v>94</v>
      </c>
      <c r="B86" s="40">
        <v>124.3</v>
      </c>
      <c r="C86" s="18">
        <v>137.6</v>
      </c>
      <c r="D86" s="18">
        <v>0.0</v>
      </c>
      <c r="E86" s="18">
        <v>1674.7</v>
      </c>
      <c r="F86" s="18">
        <v>2465.0</v>
      </c>
      <c r="G86" s="18">
        <v>978.8</v>
      </c>
      <c r="J86" s="41" t="s">
        <v>94</v>
      </c>
      <c r="K86" s="42">
        <f t="shared" ref="K86:O86" si="75">IFERROR(C86/$C86*100, "")</f>
        <v>100</v>
      </c>
      <c r="L86" s="42">
        <f t="shared" si="75"/>
        <v>0</v>
      </c>
      <c r="M86" s="42">
        <f t="shared" si="75"/>
        <v>1217.078488</v>
      </c>
      <c r="N86" s="42">
        <f t="shared" si="75"/>
        <v>1791.424419</v>
      </c>
      <c r="O86" s="42">
        <f t="shared" si="75"/>
        <v>711.3372093</v>
      </c>
      <c r="P86" s="43"/>
      <c r="Q86" s="43"/>
    </row>
    <row r="87" ht="15.75" customHeight="1">
      <c r="A87" s="20" t="s">
        <v>95</v>
      </c>
      <c r="B87" s="40" t="s">
        <v>26</v>
      </c>
      <c r="C87" s="18" t="s">
        <v>26</v>
      </c>
      <c r="D87" s="18" t="s">
        <v>26</v>
      </c>
      <c r="E87" s="18" t="s">
        <v>26</v>
      </c>
      <c r="F87" s="18" t="s">
        <v>26</v>
      </c>
      <c r="G87" s="18" t="s">
        <v>26</v>
      </c>
      <c r="J87" s="41" t="s">
        <v>95</v>
      </c>
      <c r="K87" s="42" t="str">
        <f t="shared" ref="K87:O87" si="76">IFERROR(C87/$C87*100, "")</f>
        <v/>
      </c>
      <c r="L87" s="42" t="str">
        <f t="shared" si="76"/>
        <v/>
      </c>
      <c r="M87" s="42" t="str">
        <f t="shared" si="76"/>
        <v/>
      </c>
      <c r="N87" s="42" t="str">
        <f t="shared" si="76"/>
        <v/>
      </c>
      <c r="O87" s="42" t="str">
        <f t="shared" si="76"/>
        <v/>
      </c>
      <c r="P87" s="43"/>
      <c r="Q87" s="43"/>
    </row>
    <row r="88" ht="15.75" customHeight="1">
      <c r="A88" s="20" t="s">
        <v>96</v>
      </c>
      <c r="B88" s="40">
        <v>290.5</v>
      </c>
      <c r="C88" s="18">
        <v>120.2</v>
      </c>
      <c r="D88" s="18">
        <v>130.2</v>
      </c>
      <c r="E88" s="18">
        <v>128.0</v>
      </c>
      <c r="F88" s="18">
        <v>108.7</v>
      </c>
      <c r="G88" s="18">
        <v>173.0</v>
      </c>
      <c r="J88" s="41" t="s">
        <v>96</v>
      </c>
      <c r="K88" s="42">
        <f t="shared" ref="K88:O88" si="77">IFERROR(C88/$C88*100, "")</f>
        <v>100</v>
      </c>
      <c r="L88" s="42">
        <f t="shared" si="77"/>
        <v>108.3194676</v>
      </c>
      <c r="M88" s="42">
        <f t="shared" si="77"/>
        <v>106.4891847</v>
      </c>
      <c r="N88" s="42">
        <f t="shared" si="77"/>
        <v>90.43261231</v>
      </c>
      <c r="O88" s="42">
        <f t="shared" si="77"/>
        <v>143.9267887</v>
      </c>
      <c r="P88" s="43"/>
      <c r="Q88" s="43"/>
    </row>
    <row r="89" ht="15.75" customHeight="1">
      <c r="A89" s="20" t="s">
        <v>97</v>
      </c>
      <c r="B89" s="40">
        <v>1056.2</v>
      </c>
      <c r="C89" s="18">
        <v>3170.5</v>
      </c>
      <c r="D89" s="18">
        <v>7096.0</v>
      </c>
      <c r="E89" s="18">
        <v>2066.6</v>
      </c>
      <c r="F89" s="18">
        <v>1948.6</v>
      </c>
      <c r="G89" s="18">
        <v>2219.5</v>
      </c>
      <c r="J89" s="41" t="s">
        <v>97</v>
      </c>
      <c r="K89" s="42">
        <f t="shared" ref="K89:O89" si="78">IFERROR(C89/$C89*100, "")</f>
        <v>100</v>
      </c>
      <c r="L89" s="42">
        <f t="shared" si="78"/>
        <v>223.8132787</v>
      </c>
      <c r="M89" s="42">
        <f t="shared" si="78"/>
        <v>65.18214793</v>
      </c>
      <c r="N89" s="42">
        <f t="shared" si="78"/>
        <v>61.46033749</v>
      </c>
      <c r="O89" s="42">
        <f t="shared" si="78"/>
        <v>70.00473111</v>
      </c>
      <c r="P89" s="43"/>
      <c r="Q89" s="43"/>
    </row>
    <row r="90" ht="15.75" customHeight="1">
      <c r="A90" s="15" t="s">
        <v>98</v>
      </c>
      <c r="B90" s="44">
        <v>14107.5</v>
      </c>
      <c r="C90" s="17">
        <v>16729.5</v>
      </c>
      <c r="D90" s="17">
        <v>22873.3</v>
      </c>
      <c r="E90" s="17">
        <v>35155.5</v>
      </c>
      <c r="F90" s="17">
        <v>52803.0</v>
      </c>
      <c r="G90" s="17">
        <v>44375.4</v>
      </c>
      <c r="J90" s="45" t="s">
        <v>98</v>
      </c>
      <c r="K90" s="42">
        <f t="shared" ref="K90:O90" si="79">IFERROR(C90/$C90*100, "")</f>
        <v>100</v>
      </c>
      <c r="L90" s="42">
        <f t="shared" si="79"/>
        <v>136.7243492</v>
      </c>
      <c r="M90" s="42">
        <f t="shared" si="79"/>
        <v>210.1407693</v>
      </c>
      <c r="N90" s="42">
        <f t="shared" si="79"/>
        <v>315.6280821</v>
      </c>
      <c r="O90" s="42">
        <f t="shared" si="79"/>
        <v>265.2523985</v>
      </c>
      <c r="P90" s="43"/>
      <c r="Q90" s="43"/>
    </row>
    <row r="91" ht="15.75" customHeight="1">
      <c r="A91" s="20" t="s">
        <v>99</v>
      </c>
      <c r="B91" s="40">
        <v>10974.6</v>
      </c>
      <c r="C91" s="18">
        <v>13013.5</v>
      </c>
      <c r="D91" s="18">
        <v>16824.3</v>
      </c>
      <c r="E91" s="18">
        <v>20670.8</v>
      </c>
      <c r="F91" s="18">
        <v>21863.6</v>
      </c>
      <c r="G91" s="18">
        <v>8157.5</v>
      </c>
      <c r="J91" s="41" t="s">
        <v>99</v>
      </c>
      <c r="K91" s="42">
        <f t="shared" ref="K91:O91" si="80">IFERROR(C91/$C91*100, "")</f>
        <v>100</v>
      </c>
      <c r="L91" s="42">
        <f t="shared" si="80"/>
        <v>129.2834364</v>
      </c>
      <c r="M91" s="42">
        <f t="shared" si="80"/>
        <v>158.8412034</v>
      </c>
      <c r="N91" s="42">
        <f t="shared" si="80"/>
        <v>168.0070696</v>
      </c>
      <c r="O91" s="42">
        <f t="shared" si="80"/>
        <v>62.68490414</v>
      </c>
      <c r="P91" s="43"/>
      <c r="Q91" s="43"/>
    </row>
    <row r="92" ht="15.75" customHeight="1">
      <c r="A92" s="20" t="s">
        <v>100</v>
      </c>
      <c r="B92" s="40">
        <v>14808.8</v>
      </c>
      <c r="C92" s="18">
        <v>17871.2</v>
      </c>
      <c r="D92" s="18">
        <v>22217.4</v>
      </c>
      <c r="E92" s="18">
        <v>27489.0</v>
      </c>
      <c r="F92" s="18">
        <v>28882.5</v>
      </c>
      <c r="G92" s="18">
        <v>11604.7</v>
      </c>
      <c r="J92" s="41" t="s">
        <v>100</v>
      </c>
      <c r="K92" s="42">
        <f t="shared" ref="K92:O92" si="81">IFERROR(C92/$C92*100, "")</f>
        <v>100</v>
      </c>
      <c r="L92" s="42">
        <f t="shared" si="81"/>
        <v>124.3195756</v>
      </c>
      <c r="M92" s="42">
        <f t="shared" si="81"/>
        <v>153.817315</v>
      </c>
      <c r="N92" s="42">
        <f t="shared" si="81"/>
        <v>161.6147768</v>
      </c>
      <c r="O92" s="42">
        <f t="shared" si="81"/>
        <v>64.93520301</v>
      </c>
      <c r="P92" s="43"/>
      <c r="Q92" s="43"/>
    </row>
    <row r="93" ht="15.75" customHeight="1">
      <c r="A93" s="20" t="s">
        <v>101</v>
      </c>
      <c r="B93" s="40">
        <v>3834.2</v>
      </c>
      <c r="C93" s="18">
        <v>4857.7</v>
      </c>
      <c r="D93" s="18">
        <v>5393.1</v>
      </c>
      <c r="E93" s="18">
        <v>6818.2</v>
      </c>
      <c r="F93" s="18">
        <v>7018.9</v>
      </c>
      <c r="G93" s="18">
        <v>3447.2</v>
      </c>
      <c r="J93" s="41" t="s">
        <v>101</v>
      </c>
      <c r="K93" s="42">
        <f t="shared" ref="K93:O93" si="82">IFERROR(C93/$C93*100, "")</f>
        <v>100</v>
      </c>
      <c r="L93" s="42">
        <f t="shared" si="82"/>
        <v>111.0216769</v>
      </c>
      <c r="M93" s="42">
        <f t="shared" si="82"/>
        <v>140.3586059</v>
      </c>
      <c r="N93" s="42">
        <f t="shared" si="82"/>
        <v>144.4901908</v>
      </c>
      <c r="O93" s="42">
        <f t="shared" si="82"/>
        <v>70.96362476</v>
      </c>
      <c r="P93" s="43"/>
      <c r="Q93" s="43"/>
    </row>
    <row r="94" ht="15.75" customHeight="1">
      <c r="A94" s="20" t="s">
        <v>102</v>
      </c>
      <c r="B94" s="40">
        <v>459.9</v>
      </c>
      <c r="C94" s="18">
        <v>450.8</v>
      </c>
      <c r="D94" s="18">
        <v>1219.5</v>
      </c>
      <c r="E94" s="18">
        <v>394.8</v>
      </c>
      <c r="F94" s="18">
        <v>533.1</v>
      </c>
      <c r="G94" s="18">
        <v>180.9</v>
      </c>
      <c r="J94" s="41" t="s">
        <v>102</v>
      </c>
      <c r="K94" s="42">
        <f t="shared" ref="K94:O94" si="83">IFERROR(C94/$C94*100, "")</f>
        <v>100</v>
      </c>
      <c r="L94" s="42">
        <f t="shared" si="83"/>
        <v>270.5190772</v>
      </c>
      <c r="M94" s="42">
        <f t="shared" si="83"/>
        <v>87.57763975</v>
      </c>
      <c r="N94" s="42">
        <f t="shared" si="83"/>
        <v>118.256433</v>
      </c>
      <c r="O94" s="42">
        <f t="shared" si="83"/>
        <v>40.12866016</v>
      </c>
      <c r="P94" s="43"/>
      <c r="Q94" s="43"/>
    </row>
    <row r="95" ht="15.75" customHeight="1">
      <c r="A95" s="20" t="s">
        <v>103</v>
      </c>
      <c r="B95" s="40">
        <v>459.9</v>
      </c>
      <c r="C95" s="18">
        <v>450.8</v>
      </c>
      <c r="D95" s="18">
        <v>1219.5</v>
      </c>
      <c r="E95" s="18">
        <v>394.8</v>
      </c>
      <c r="F95" s="18">
        <v>533.1</v>
      </c>
      <c r="G95" s="18">
        <v>180.9</v>
      </c>
      <c r="J95" s="41" t="s">
        <v>103</v>
      </c>
      <c r="K95" s="42">
        <f t="shared" ref="K95:O95" si="84">IFERROR(C95/$C95*100, "")</f>
        <v>100</v>
      </c>
      <c r="L95" s="42">
        <f t="shared" si="84"/>
        <v>270.5190772</v>
      </c>
      <c r="M95" s="42">
        <f t="shared" si="84"/>
        <v>87.57763975</v>
      </c>
      <c r="N95" s="42">
        <f t="shared" si="84"/>
        <v>118.256433</v>
      </c>
      <c r="O95" s="42">
        <f t="shared" si="84"/>
        <v>40.12866016</v>
      </c>
      <c r="P95" s="43"/>
      <c r="Q95" s="43"/>
    </row>
    <row r="96" ht="15.75" customHeight="1">
      <c r="A96" s="20" t="s">
        <v>104</v>
      </c>
      <c r="B96" s="40" t="s">
        <v>26</v>
      </c>
      <c r="C96" s="18" t="s">
        <v>26</v>
      </c>
      <c r="D96" s="18">
        <v>0.0</v>
      </c>
      <c r="E96" s="18" t="s">
        <v>26</v>
      </c>
      <c r="F96" s="18" t="s">
        <v>26</v>
      </c>
      <c r="G96" s="18" t="s">
        <v>26</v>
      </c>
      <c r="J96" s="41" t="s">
        <v>104</v>
      </c>
      <c r="K96" s="42" t="str">
        <f t="shared" ref="K96:O96" si="85">IFERROR(C96/$C96*100, "")</f>
        <v/>
      </c>
      <c r="L96" s="42" t="str">
        <f t="shared" si="85"/>
        <v/>
      </c>
      <c r="M96" s="42" t="str">
        <f t="shared" si="85"/>
        <v/>
      </c>
      <c r="N96" s="42" t="str">
        <f t="shared" si="85"/>
        <v/>
      </c>
      <c r="O96" s="42" t="str">
        <f t="shared" si="85"/>
        <v/>
      </c>
      <c r="P96" s="43"/>
      <c r="Q96" s="43"/>
    </row>
    <row r="97" ht="15.75" customHeight="1">
      <c r="A97" s="20" t="s">
        <v>105</v>
      </c>
      <c r="B97" s="40">
        <v>8550.1</v>
      </c>
      <c r="C97" s="18">
        <v>8964.5</v>
      </c>
      <c r="D97" s="18">
        <v>12219.7</v>
      </c>
      <c r="E97" s="18">
        <v>18381.0</v>
      </c>
      <c r="F97" s="18">
        <v>22501.3</v>
      </c>
      <c r="G97" s="18">
        <v>20653.6</v>
      </c>
      <c r="J97" s="41" t="s">
        <v>105</v>
      </c>
      <c r="K97" s="42">
        <f t="shared" ref="K97:O97" si="86">IFERROR(C97/$C97*100, "")</f>
        <v>100</v>
      </c>
      <c r="L97" s="42">
        <f t="shared" si="86"/>
        <v>136.31212</v>
      </c>
      <c r="M97" s="42">
        <f t="shared" si="86"/>
        <v>205.0421105</v>
      </c>
      <c r="N97" s="42">
        <f t="shared" si="86"/>
        <v>251.0045178</v>
      </c>
      <c r="O97" s="42">
        <f t="shared" si="86"/>
        <v>230.3932177</v>
      </c>
      <c r="P97" s="43"/>
      <c r="Q97" s="43"/>
    </row>
    <row r="98" ht="15.75" customHeight="1">
      <c r="A98" s="20" t="s">
        <v>106</v>
      </c>
      <c r="B98" s="40">
        <v>4273.4</v>
      </c>
      <c r="C98" s="18">
        <v>4161.3</v>
      </c>
      <c r="D98" s="18">
        <v>5222.1</v>
      </c>
      <c r="E98" s="18">
        <v>11000.7</v>
      </c>
      <c r="F98" s="18">
        <v>13082.8</v>
      </c>
      <c r="G98" s="18">
        <v>13448.3</v>
      </c>
      <c r="J98" s="41" t="s">
        <v>106</v>
      </c>
      <c r="K98" s="42">
        <f t="shared" ref="K98:O98" si="87">IFERROR(C98/$C98*100, "")</f>
        <v>100</v>
      </c>
      <c r="L98" s="42">
        <f t="shared" si="87"/>
        <v>125.4920337</v>
      </c>
      <c r="M98" s="42">
        <f t="shared" si="87"/>
        <v>264.3572922</v>
      </c>
      <c r="N98" s="42">
        <f t="shared" si="87"/>
        <v>314.3921371</v>
      </c>
      <c r="O98" s="42">
        <f t="shared" si="87"/>
        <v>323.17545</v>
      </c>
      <c r="P98" s="43"/>
      <c r="Q98" s="43"/>
    </row>
    <row r="99" ht="15.75" customHeight="1">
      <c r="A99" s="22" t="s">
        <v>107</v>
      </c>
      <c r="B99" s="46">
        <v>2880.0</v>
      </c>
      <c r="C99" s="24">
        <v>2850.1</v>
      </c>
      <c r="D99" s="24">
        <v>3364.6</v>
      </c>
      <c r="E99" s="24">
        <v>5664.3</v>
      </c>
      <c r="F99" s="24">
        <v>6864.6</v>
      </c>
      <c r="G99" s="24">
        <v>7433.7</v>
      </c>
      <c r="J99" s="47" t="s">
        <v>107</v>
      </c>
      <c r="K99" s="42">
        <f t="shared" ref="K99:O99" si="88">IFERROR(C99/$C99*100, "")</f>
        <v>100</v>
      </c>
      <c r="L99" s="42">
        <f t="shared" si="88"/>
        <v>118.0519982</v>
      </c>
      <c r="M99" s="42">
        <f t="shared" si="88"/>
        <v>198.7403951</v>
      </c>
      <c r="N99" s="42">
        <f t="shared" si="88"/>
        <v>240.8547069</v>
      </c>
      <c r="O99" s="42">
        <f t="shared" si="88"/>
        <v>260.8224273</v>
      </c>
      <c r="P99" s="43"/>
      <c r="Q99" s="43"/>
    </row>
    <row r="100" ht="15.75" customHeight="1">
      <c r="A100" s="22" t="s">
        <v>108</v>
      </c>
      <c r="B100" s="46">
        <v>1393.4</v>
      </c>
      <c r="C100" s="24">
        <v>1311.2</v>
      </c>
      <c r="D100" s="24">
        <v>1857.5</v>
      </c>
      <c r="E100" s="24">
        <v>5336.4</v>
      </c>
      <c r="F100" s="24">
        <v>6218.2</v>
      </c>
      <c r="G100" s="24">
        <v>6014.6</v>
      </c>
      <c r="J100" s="47" t="s">
        <v>108</v>
      </c>
      <c r="K100" s="42">
        <f t="shared" ref="K100:O100" si="89">IFERROR(C100/$C100*100, "")</f>
        <v>100</v>
      </c>
      <c r="L100" s="42">
        <f t="shared" si="89"/>
        <v>141.6641245</v>
      </c>
      <c r="M100" s="42">
        <f t="shared" si="89"/>
        <v>406.9859671</v>
      </c>
      <c r="N100" s="42">
        <f t="shared" si="89"/>
        <v>474.2373398</v>
      </c>
      <c r="O100" s="42">
        <f t="shared" si="89"/>
        <v>458.709579</v>
      </c>
      <c r="P100" s="43"/>
      <c r="Q100" s="43"/>
    </row>
    <row r="101" ht="15.75" customHeight="1">
      <c r="A101" s="20" t="s">
        <v>109</v>
      </c>
      <c r="B101" s="40">
        <v>2.7</v>
      </c>
      <c r="C101" s="18">
        <v>80.8</v>
      </c>
      <c r="D101" s="18">
        <v>34.6</v>
      </c>
      <c r="E101" s="18" t="s">
        <v>26</v>
      </c>
      <c r="F101" s="18" t="s">
        <v>26</v>
      </c>
      <c r="G101" s="18" t="s">
        <v>26</v>
      </c>
      <c r="J101" s="41" t="s">
        <v>109</v>
      </c>
      <c r="K101" s="42">
        <f t="shared" ref="K101:O101" si="90">IFERROR(C101/$C101*100, "")</f>
        <v>100</v>
      </c>
      <c r="L101" s="42">
        <f t="shared" si="90"/>
        <v>42.82178218</v>
      </c>
      <c r="M101" s="42" t="str">
        <f t="shared" si="90"/>
        <v/>
      </c>
      <c r="N101" s="42" t="str">
        <f t="shared" si="90"/>
        <v/>
      </c>
      <c r="O101" s="42" t="str">
        <f t="shared" si="90"/>
        <v/>
      </c>
      <c r="P101" s="43"/>
      <c r="Q101" s="43"/>
    </row>
    <row r="102" ht="15.75" customHeight="1">
      <c r="A102" s="20" t="s">
        <v>95</v>
      </c>
      <c r="B102" s="40">
        <v>974.0</v>
      </c>
      <c r="C102" s="18">
        <v>1097.0</v>
      </c>
      <c r="D102" s="18">
        <v>1219.7</v>
      </c>
      <c r="E102" s="18">
        <v>1921.7</v>
      </c>
      <c r="F102" s="18">
        <v>1793.8</v>
      </c>
      <c r="G102" s="18">
        <v>1064.5</v>
      </c>
      <c r="J102" s="41" t="s">
        <v>95</v>
      </c>
      <c r="K102" s="42">
        <f t="shared" ref="K102:O102" si="91">IFERROR(C102/$C102*100, "")</f>
        <v>100</v>
      </c>
      <c r="L102" s="42">
        <f t="shared" si="91"/>
        <v>111.1850501</v>
      </c>
      <c r="M102" s="42">
        <f t="shared" si="91"/>
        <v>175.1777575</v>
      </c>
      <c r="N102" s="42">
        <f t="shared" si="91"/>
        <v>163.5186873</v>
      </c>
      <c r="O102" s="42">
        <f t="shared" si="91"/>
        <v>97.03737466</v>
      </c>
      <c r="P102" s="43"/>
      <c r="Q102" s="43"/>
    </row>
    <row r="103" ht="15.75" customHeight="1">
      <c r="A103" s="20" t="s">
        <v>93</v>
      </c>
      <c r="B103" s="40">
        <v>0.0</v>
      </c>
      <c r="C103" s="18">
        <v>0.0</v>
      </c>
      <c r="D103" s="18">
        <v>0.0</v>
      </c>
      <c r="E103" s="18">
        <v>0.0</v>
      </c>
      <c r="F103" s="18">
        <v>0.0</v>
      </c>
      <c r="G103" s="18">
        <v>0.0</v>
      </c>
      <c r="J103" s="41" t="s">
        <v>93</v>
      </c>
      <c r="K103" s="42" t="str">
        <f t="shared" ref="K103:O103" si="92">IFERROR(C103/$C103*100, "")</f>
        <v/>
      </c>
      <c r="L103" s="42" t="str">
        <f t="shared" si="92"/>
        <v/>
      </c>
      <c r="M103" s="42" t="str">
        <f t="shared" si="92"/>
        <v/>
      </c>
      <c r="N103" s="42" t="str">
        <f t="shared" si="92"/>
        <v/>
      </c>
      <c r="O103" s="42" t="str">
        <f t="shared" si="92"/>
        <v/>
      </c>
      <c r="P103" s="43"/>
      <c r="Q103" s="43"/>
    </row>
    <row r="104" ht="15.75" customHeight="1">
      <c r="A104" s="20" t="s">
        <v>110</v>
      </c>
      <c r="B104" s="40">
        <v>2139.0</v>
      </c>
      <c r="C104" s="18">
        <v>2137.1</v>
      </c>
      <c r="D104" s="18">
        <v>4133.7</v>
      </c>
      <c r="E104" s="18">
        <v>2534.4</v>
      </c>
      <c r="F104" s="18">
        <v>3673.7</v>
      </c>
      <c r="G104" s="18">
        <v>3925.5</v>
      </c>
      <c r="J104" s="41" t="s">
        <v>110</v>
      </c>
      <c r="K104" s="42">
        <f t="shared" ref="K104:O104" si="93">IFERROR(C104/$C104*100, "")</f>
        <v>100</v>
      </c>
      <c r="L104" s="42">
        <f t="shared" si="93"/>
        <v>193.4256703</v>
      </c>
      <c r="M104" s="42">
        <f t="shared" si="93"/>
        <v>118.5906134</v>
      </c>
      <c r="N104" s="42">
        <f t="shared" si="93"/>
        <v>171.9011745</v>
      </c>
      <c r="O104" s="42">
        <f t="shared" si="93"/>
        <v>183.6834963</v>
      </c>
      <c r="P104" s="43"/>
      <c r="Q104" s="43"/>
    </row>
    <row r="105" ht="15.75" customHeight="1">
      <c r="A105" s="20" t="s">
        <v>111</v>
      </c>
      <c r="B105" s="40">
        <v>1161.0</v>
      </c>
      <c r="C105" s="18">
        <v>1488.3</v>
      </c>
      <c r="D105" s="18">
        <v>1609.6</v>
      </c>
      <c r="E105" s="18">
        <v>2924.2</v>
      </c>
      <c r="F105" s="18">
        <v>3951.0</v>
      </c>
      <c r="G105" s="18">
        <v>2215.3</v>
      </c>
      <c r="J105" s="41" t="s">
        <v>111</v>
      </c>
      <c r="K105" s="42">
        <f t="shared" ref="K105:O105" si="94">IFERROR(C105/$C105*100, "")</f>
        <v>100</v>
      </c>
      <c r="L105" s="42">
        <f t="shared" si="94"/>
        <v>108.1502385</v>
      </c>
      <c r="M105" s="42">
        <f t="shared" si="94"/>
        <v>196.4792045</v>
      </c>
      <c r="N105" s="42">
        <f t="shared" si="94"/>
        <v>265.4706712</v>
      </c>
      <c r="O105" s="42">
        <f t="shared" si="94"/>
        <v>148.8476786</v>
      </c>
      <c r="P105" s="43"/>
      <c r="Q105" s="43"/>
    </row>
    <row r="106" ht="15.75" customHeight="1">
      <c r="A106" s="15" t="s">
        <v>112</v>
      </c>
      <c r="B106" s="44">
        <v>19984.6</v>
      </c>
      <c r="C106" s="17">
        <v>22428.8</v>
      </c>
      <c r="D106" s="17">
        <v>30263.5</v>
      </c>
      <c r="E106" s="17">
        <v>39446.6</v>
      </c>
      <c r="F106" s="17">
        <v>44898.0</v>
      </c>
      <c r="G106" s="17">
        <v>28992.0</v>
      </c>
      <c r="J106" s="45" t="s">
        <v>112</v>
      </c>
      <c r="K106" s="42">
        <f t="shared" ref="K106:O106" si="95">IFERROR(C106/$C106*100, "")</f>
        <v>100</v>
      </c>
      <c r="L106" s="42">
        <f t="shared" si="95"/>
        <v>134.9314275</v>
      </c>
      <c r="M106" s="42">
        <f t="shared" si="95"/>
        <v>175.8747682</v>
      </c>
      <c r="N106" s="42">
        <f t="shared" si="95"/>
        <v>200.1801256</v>
      </c>
      <c r="O106" s="42">
        <f t="shared" si="95"/>
        <v>129.2623769</v>
      </c>
      <c r="P106" s="43"/>
      <c r="Q106" s="43"/>
    </row>
    <row r="107" ht="15.75" customHeight="1">
      <c r="A107" s="15" t="s">
        <v>78</v>
      </c>
      <c r="B107" s="44">
        <v>34092.1</v>
      </c>
      <c r="C107" s="17">
        <v>39158.3</v>
      </c>
      <c r="D107" s="17">
        <v>53136.8</v>
      </c>
      <c r="E107" s="17">
        <v>74602.1</v>
      </c>
      <c r="F107" s="17">
        <v>97701.0</v>
      </c>
      <c r="G107" s="17">
        <v>73367.4</v>
      </c>
      <c r="J107" s="45" t="s">
        <v>78</v>
      </c>
      <c r="K107" s="42">
        <f t="shared" ref="K107:O107" si="96">IFERROR(C107/$C107*100, "")</f>
        <v>100</v>
      </c>
      <c r="L107" s="42">
        <f t="shared" si="96"/>
        <v>135.6974128</v>
      </c>
      <c r="M107" s="42">
        <f t="shared" si="96"/>
        <v>190.5141439</v>
      </c>
      <c r="N107" s="42">
        <f t="shared" si="96"/>
        <v>249.5026597</v>
      </c>
      <c r="O107" s="42">
        <f t="shared" si="96"/>
        <v>187.3610448</v>
      </c>
      <c r="P107" s="43"/>
      <c r="Q107" s="43"/>
    </row>
    <row r="108" ht="15.75" customHeight="1">
      <c r="A108" s="15"/>
      <c r="B108" s="37"/>
      <c r="C108" s="17"/>
      <c r="D108" s="17"/>
      <c r="E108" s="17"/>
      <c r="F108" s="17"/>
      <c r="G108" s="17"/>
      <c r="J108" s="45"/>
      <c r="K108" s="42" t="str">
        <f t="shared" ref="K108:O108" si="97">IFERROR(C108/$C108*100, "")</f>
        <v/>
      </c>
      <c r="L108" s="42" t="str">
        <f t="shared" si="97"/>
        <v/>
      </c>
      <c r="M108" s="42" t="str">
        <f t="shared" si="97"/>
        <v/>
      </c>
      <c r="N108" s="42" t="str">
        <f t="shared" si="97"/>
        <v/>
      </c>
      <c r="O108" s="42" t="str">
        <f t="shared" si="97"/>
        <v/>
      </c>
      <c r="P108" s="43"/>
      <c r="Q108" s="43"/>
    </row>
    <row r="109" ht="15.75" customHeight="1">
      <c r="A109" s="15" t="s">
        <v>113</v>
      </c>
      <c r="B109" s="37"/>
      <c r="C109" s="26"/>
      <c r="D109" s="26"/>
      <c r="E109" s="26"/>
      <c r="F109" s="26"/>
      <c r="G109" s="26"/>
      <c r="J109" s="45" t="s">
        <v>113</v>
      </c>
      <c r="K109" s="42" t="str">
        <f t="shared" ref="K109:O109" si="98">IFERROR(C109/$C109*100, "")</f>
        <v/>
      </c>
      <c r="L109" s="42" t="str">
        <f t="shared" si="98"/>
        <v/>
      </c>
      <c r="M109" s="42" t="str">
        <f t="shared" si="98"/>
        <v/>
      </c>
      <c r="N109" s="42" t="str">
        <f t="shared" si="98"/>
        <v/>
      </c>
      <c r="O109" s="42" t="str">
        <f t="shared" si="98"/>
        <v/>
      </c>
      <c r="P109" s="43"/>
      <c r="Q109" s="43"/>
    </row>
    <row r="110" ht="15.75" customHeight="1">
      <c r="A110" s="20" t="s">
        <v>114</v>
      </c>
      <c r="B110" s="40">
        <v>7479.4</v>
      </c>
      <c r="C110" s="18">
        <v>8623.3</v>
      </c>
      <c r="D110" s="18">
        <v>10121.3</v>
      </c>
      <c r="E110" s="18">
        <v>16536.9</v>
      </c>
      <c r="F110" s="18">
        <v>21600.3</v>
      </c>
      <c r="G110" s="18">
        <v>15624.9</v>
      </c>
      <c r="J110" s="41" t="s">
        <v>114</v>
      </c>
      <c r="K110" s="42">
        <f t="shared" ref="K110:O110" si="99">IFERROR(C110/$C110*100, "")</f>
        <v>100</v>
      </c>
      <c r="L110" s="42">
        <f t="shared" si="99"/>
        <v>117.3715399</v>
      </c>
      <c r="M110" s="42">
        <f t="shared" si="99"/>
        <v>191.7699721</v>
      </c>
      <c r="N110" s="42">
        <f t="shared" si="99"/>
        <v>250.4876323</v>
      </c>
      <c r="O110" s="42">
        <f t="shared" si="99"/>
        <v>181.1939745</v>
      </c>
      <c r="P110" s="43"/>
      <c r="Q110" s="43"/>
    </row>
    <row r="111" ht="15.75" customHeight="1">
      <c r="A111" s="20" t="s">
        <v>115</v>
      </c>
      <c r="B111" s="40">
        <v>6850.8</v>
      </c>
      <c r="C111" s="18">
        <v>6990.5</v>
      </c>
      <c r="D111" s="18">
        <v>7983.1</v>
      </c>
      <c r="E111" s="18">
        <v>13888.6</v>
      </c>
      <c r="F111" s="18">
        <v>19122.5</v>
      </c>
      <c r="G111" s="18">
        <v>14227.6</v>
      </c>
      <c r="J111" s="41" t="s">
        <v>115</v>
      </c>
      <c r="K111" s="42">
        <f t="shared" ref="K111:O111" si="100">IFERROR(C111/$C111*100, "")</f>
        <v>100</v>
      </c>
      <c r="L111" s="42">
        <f t="shared" si="100"/>
        <v>114.1992704</v>
      </c>
      <c r="M111" s="42">
        <f t="shared" si="100"/>
        <v>198.6782061</v>
      </c>
      <c r="N111" s="42">
        <f t="shared" si="100"/>
        <v>273.5498176</v>
      </c>
      <c r="O111" s="42">
        <f t="shared" si="100"/>
        <v>203.5276447</v>
      </c>
      <c r="P111" s="43"/>
      <c r="Q111" s="43"/>
    </row>
    <row r="112" ht="15.75" customHeight="1">
      <c r="A112" s="20" t="s">
        <v>116</v>
      </c>
      <c r="B112" s="40">
        <v>111.2</v>
      </c>
      <c r="C112" s="18">
        <v>166.0</v>
      </c>
      <c r="D112" s="18">
        <v>195.4</v>
      </c>
      <c r="E112" s="18">
        <v>961.1</v>
      </c>
      <c r="F112" s="18">
        <v>1268.8</v>
      </c>
      <c r="G112" s="18">
        <v>993.6</v>
      </c>
      <c r="J112" s="41" t="s">
        <v>116</v>
      </c>
      <c r="K112" s="42">
        <f t="shared" ref="K112:O112" si="101">IFERROR(C112/$C112*100, "")</f>
        <v>100</v>
      </c>
      <c r="L112" s="42">
        <f t="shared" si="101"/>
        <v>117.7108434</v>
      </c>
      <c r="M112" s="42">
        <f t="shared" si="101"/>
        <v>578.9759036</v>
      </c>
      <c r="N112" s="42">
        <f t="shared" si="101"/>
        <v>764.3373494</v>
      </c>
      <c r="O112" s="42">
        <f t="shared" si="101"/>
        <v>598.5542169</v>
      </c>
      <c r="P112" s="43"/>
      <c r="Q112" s="43"/>
    </row>
    <row r="113" ht="15.75" customHeight="1">
      <c r="A113" s="20" t="s">
        <v>117</v>
      </c>
      <c r="B113" s="40">
        <v>10.1</v>
      </c>
      <c r="C113" s="18">
        <v>7.2</v>
      </c>
      <c r="D113" s="18">
        <v>54.0</v>
      </c>
      <c r="E113" s="18">
        <v>66.6</v>
      </c>
      <c r="F113" s="18">
        <v>66.3</v>
      </c>
      <c r="G113" s="18" t="s">
        <v>26</v>
      </c>
      <c r="J113" s="41" t="s">
        <v>117</v>
      </c>
      <c r="K113" s="42">
        <f t="shared" ref="K113:O113" si="102">IFERROR(C113/$C113*100, "")</f>
        <v>100</v>
      </c>
      <c r="L113" s="42">
        <f t="shared" si="102"/>
        <v>750</v>
      </c>
      <c r="M113" s="42">
        <f t="shared" si="102"/>
        <v>925</v>
      </c>
      <c r="N113" s="42">
        <f t="shared" si="102"/>
        <v>920.8333333</v>
      </c>
      <c r="O113" s="42" t="str">
        <f t="shared" si="102"/>
        <v/>
      </c>
      <c r="P113" s="43"/>
      <c r="Q113" s="43"/>
    </row>
    <row r="114" ht="15.75" customHeight="1">
      <c r="A114" s="20" t="s">
        <v>118</v>
      </c>
      <c r="B114" s="40">
        <v>507.3</v>
      </c>
      <c r="C114" s="18">
        <v>1459.6</v>
      </c>
      <c r="D114" s="18">
        <v>1888.8</v>
      </c>
      <c r="E114" s="18">
        <v>1620.6</v>
      </c>
      <c r="F114" s="18">
        <v>1142.7</v>
      </c>
      <c r="G114" s="18">
        <v>403.7</v>
      </c>
      <c r="J114" s="41" t="s">
        <v>118</v>
      </c>
      <c r="K114" s="42">
        <f t="shared" ref="K114:O114" si="103">IFERROR(C114/$C114*100, "")</f>
        <v>100</v>
      </c>
      <c r="L114" s="42">
        <f t="shared" si="103"/>
        <v>129.4053165</v>
      </c>
      <c r="M114" s="42">
        <f t="shared" si="103"/>
        <v>111.0304193</v>
      </c>
      <c r="N114" s="42">
        <f t="shared" si="103"/>
        <v>78.28857221</v>
      </c>
      <c r="O114" s="42">
        <f t="shared" si="103"/>
        <v>27.65826254</v>
      </c>
      <c r="P114" s="43"/>
      <c r="Q114" s="43"/>
    </row>
    <row r="115" ht="15.75" customHeight="1">
      <c r="A115" s="20" t="s">
        <v>119</v>
      </c>
      <c r="B115" s="40">
        <v>2040.7</v>
      </c>
      <c r="C115" s="18">
        <v>1189.2</v>
      </c>
      <c r="D115" s="18">
        <v>5011.9</v>
      </c>
      <c r="E115" s="18">
        <v>8080.5</v>
      </c>
      <c r="F115" s="18">
        <v>7232.1</v>
      </c>
      <c r="G115" s="18">
        <v>4799.0</v>
      </c>
      <c r="J115" s="41" t="s">
        <v>119</v>
      </c>
      <c r="K115" s="42">
        <f t="shared" ref="K115:O115" si="104">IFERROR(C115/$C115*100, "")</f>
        <v>100</v>
      </c>
      <c r="L115" s="42">
        <f t="shared" si="104"/>
        <v>421.4513959</v>
      </c>
      <c r="M115" s="42">
        <f t="shared" si="104"/>
        <v>679.4904137</v>
      </c>
      <c r="N115" s="42">
        <f t="shared" si="104"/>
        <v>608.148335</v>
      </c>
      <c r="O115" s="42">
        <f t="shared" si="104"/>
        <v>403.5486041</v>
      </c>
      <c r="P115" s="43"/>
      <c r="Q115" s="43"/>
    </row>
    <row r="116" ht="15.75" customHeight="1">
      <c r="A116" s="20" t="s">
        <v>120</v>
      </c>
      <c r="B116" s="40">
        <v>1120.6</v>
      </c>
      <c r="C116" s="18">
        <v>1189.2</v>
      </c>
      <c r="D116" s="18">
        <v>4395.1</v>
      </c>
      <c r="E116" s="18">
        <v>7477.9</v>
      </c>
      <c r="F116" s="18">
        <v>6226.0</v>
      </c>
      <c r="G116" s="18">
        <v>3851.8</v>
      </c>
      <c r="J116" s="41" t="s">
        <v>120</v>
      </c>
      <c r="K116" s="42">
        <f t="shared" ref="K116:O116" si="105">IFERROR(C116/$C116*100, "")</f>
        <v>100</v>
      </c>
      <c r="L116" s="42">
        <f t="shared" si="105"/>
        <v>369.5845947</v>
      </c>
      <c r="M116" s="42">
        <f t="shared" si="105"/>
        <v>628.8176926</v>
      </c>
      <c r="N116" s="42">
        <f t="shared" si="105"/>
        <v>523.5452405</v>
      </c>
      <c r="O116" s="42">
        <f t="shared" si="105"/>
        <v>323.8984191</v>
      </c>
      <c r="P116" s="43"/>
      <c r="Q116" s="43"/>
    </row>
    <row r="117" ht="15.75" customHeight="1">
      <c r="A117" s="20" t="s">
        <v>121</v>
      </c>
      <c r="B117" s="40">
        <v>1.3</v>
      </c>
      <c r="C117" s="18">
        <v>0.0</v>
      </c>
      <c r="D117" s="18">
        <v>616.8</v>
      </c>
      <c r="E117" s="18">
        <v>602.6</v>
      </c>
      <c r="F117" s="18">
        <v>1006.1</v>
      </c>
      <c r="G117" s="18">
        <v>947.2</v>
      </c>
      <c r="J117" s="41" t="s">
        <v>121</v>
      </c>
      <c r="K117" s="42" t="str">
        <f t="shared" ref="K117:O117" si="106">IFERROR(C117/$C117*100, "")</f>
        <v/>
      </c>
      <c r="L117" s="42" t="str">
        <f t="shared" si="106"/>
        <v/>
      </c>
      <c r="M117" s="42" t="str">
        <f t="shared" si="106"/>
        <v/>
      </c>
      <c r="N117" s="42" t="str">
        <f t="shared" si="106"/>
        <v/>
      </c>
      <c r="O117" s="42" t="str">
        <f t="shared" si="106"/>
        <v/>
      </c>
      <c r="P117" s="43"/>
      <c r="Q117" s="43"/>
    </row>
    <row r="118" ht="15.75" customHeight="1">
      <c r="A118" s="22" t="s">
        <v>122</v>
      </c>
      <c r="B118" s="46">
        <v>1.3</v>
      </c>
      <c r="C118" s="24">
        <v>0.0</v>
      </c>
      <c r="D118" s="24" t="s">
        <v>26</v>
      </c>
      <c r="E118" s="24" t="s">
        <v>26</v>
      </c>
      <c r="F118" s="24" t="s">
        <v>26</v>
      </c>
      <c r="G118" s="24" t="s">
        <v>26</v>
      </c>
      <c r="J118" s="47" t="s">
        <v>122</v>
      </c>
      <c r="K118" s="42" t="str">
        <f t="shared" ref="K118:O118" si="107">IFERROR(C118/$C118*100, "")</f>
        <v/>
      </c>
      <c r="L118" s="42" t="str">
        <f t="shared" si="107"/>
        <v/>
      </c>
      <c r="M118" s="42" t="str">
        <f t="shared" si="107"/>
        <v/>
      </c>
      <c r="N118" s="42" t="str">
        <f t="shared" si="107"/>
        <v/>
      </c>
      <c r="O118" s="42" t="str">
        <f t="shared" si="107"/>
        <v/>
      </c>
      <c r="P118" s="43"/>
      <c r="Q118" s="43"/>
    </row>
    <row r="119" ht="15.75" customHeight="1">
      <c r="A119" s="20" t="s">
        <v>123</v>
      </c>
      <c r="B119" s="40">
        <v>918.8</v>
      </c>
      <c r="C119" s="18" t="s">
        <v>26</v>
      </c>
      <c r="D119" s="18" t="s">
        <v>26</v>
      </c>
      <c r="E119" s="18" t="s">
        <v>26</v>
      </c>
      <c r="F119" s="18" t="s">
        <v>26</v>
      </c>
      <c r="G119" s="18" t="s">
        <v>26</v>
      </c>
      <c r="J119" s="41" t="s">
        <v>123</v>
      </c>
      <c r="K119" s="42" t="str">
        <f t="shared" ref="K119:O119" si="108">IFERROR(C119/$C119*100, "")</f>
        <v/>
      </c>
      <c r="L119" s="42" t="str">
        <f t="shared" si="108"/>
        <v/>
      </c>
      <c r="M119" s="42" t="str">
        <f t="shared" si="108"/>
        <v/>
      </c>
      <c r="N119" s="42" t="str">
        <f t="shared" si="108"/>
        <v/>
      </c>
      <c r="O119" s="42" t="str">
        <f t="shared" si="108"/>
        <v/>
      </c>
      <c r="P119" s="43"/>
      <c r="Q119" s="43"/>
    </row>
    <row r="120" ht="15.75" customHeight="1">
      <c r="A120" s="20" t="s">
        <v>124</v>
      </c>
      <c r="B120" s="40">
        <v>1929.5</v>
      </c>
      <c r="C120" s="18">
        <v>4994.9</v>
      </c>
      <c r="D120" s="18">
        <v>6398.0</v>
      </c>
      <c r="E120" s="18">
        <v>12125.6</v>
      </c>
      <c r="F120" s="18">
        <v>17648.9</v>
      </c>
      <c r="G120" s="18">
        <v>13001.2</v>
      </c>
      <c r="J120" s="41" t="s">
        <v>124</v>
      </c>
      <c r="K120" s="42">
        <f t="shared" ref="K120:O120" si="109">IFERROR(C120/$C120*100, "")</f>
        <v>100</v>
      </c>
      <c r="L120" s="42">
        <f t="shared" si="109"/>
        <v>128.0906525</v>
      </c>
      <c r="M120" s="42">
        <f t="shared" si="109"/>
        <v>242.7596148</v>
      </c>
      <c r="N120" s="42">
        <f t="shared" si="109"/>
        <v>353.3384052</v>
      </c>
      <c r="O120" s="42">
        <f t="shared" si="109"/>
        <v>260.2894953</v>
      </c>
      <c r="P120" s="43"/>
      <c r="Q120" s="43"/>
    </row>
    <row r="121" ht="15.75" customHeight="1">
      <c r="A121" s="20" t="s">
        <v>125</v>
      </c>
      <c r="B121" s="40">
        <v>68.5</v>
      </c>
      <c r="C121" s="18">
        <v>0.0</v>
      </c>
      <c r="D121" s="18">
        <v>0.0</v>
      </c>
      <c r="E121" s="18">
        <v>4470.8</v>
      </c>
      <c r="F121" s="18">
        <v>9228.4</v>
      </c>
      <c r="G121" s="18">
        <v>5536.9</v>
      </c>
      <c r="J121" s="41" t="s">
        <v>125</v>
      </c>
      <c r="K121" s="42" t="str">
        <f t="shared" ref="K121:O121" si="110">IFERROR(C121/$C121*100, "")</f>
        <v/>
      </c>
      <c r="L121" s="42" t="str">
        <f t="shared" si="110"/>
        <v/>
      </c>
      <c r="M121" s="42" t="str">
        <f t="shared" si="110"/>
        <v/>
      </c>
      <c r="N121" s="42" t="str">
        <f t="shared" si="110"/>
        <v/>
      </c>
      <c r="O121" s="42" t="str">
        <f t="shared" si="110"/>
        <v/>
      </c>
      <c r="P121" s="43"/>
      <c r="Q121" s="43"/>
    </row>
    <row r="122" ht="15.75" customHeight="1">
      <c r="A122" s="20" t="s">
        <v>126</v>
      </c>
      <c r="B122" s="40">
        <v>7.8</v>
      </c>
      <c r="C122" s="18">
        <v>0.0</v>
      </c>
      <c r="D122" s="18">
        <v>0.0</v>
      </c>
      <c r="E122" s="18">
        <v>0.0</v>
      </c>
      <c r="F122" s="18">
        <v>0.0</v>
      </c>
      <c r="G122" s="18">
        <v>0.0</v>
      </c>
      <c r="J122" s="41" t="s">
        <v>126</v>
      </c>
      <c r="K122" s="42" t="str">
        <f t="shared" ref="K122:O122" si="111">IFERROR(C122/$C122*100, "")</f>
        <v/>
      </c>
      <c r="L122" s="42" t="str">
        <f t="shared" si="111"/>
        <v/>
      </c>
      <c r="M122" s="42" t="str">
        <f t="shared" si="111"/>
        <v/>
      </c>
      <c r="N122" s="42" t="str">
        <f t="shared" si="111"/>
        <v/>
      </c>
      <c r="O122" s="42" t="str">
        <f t="shared" si="111"/>
        <v/>
      </c>
      <c r="P122" s="43"/>
      <c r="Q122" s="43"/>
    </row>
    <row r="123" ht="15.75" customHeight="1">
      <c r="A123" s="20" t="s">
        <v>127</v>
      </c>
      <c r="B123" s="40">
        <v>1853.2</v>
      </c>
      <c r="C123" s="18">
        <v>4994.9</v>
      </c>
      <c r="D123" s="18">
        <v>6398.0</v>
      </c>
      <c r="E123" s="18">
        <v>7654.8</v>
      </c>
      <c r="F123" s="18">
        <v>8420.5</v>
      </c>
      <c r="G123" s="18">
        <v>7464.3</v>
      </c>
      <c r="J123" s="41" t="s">
        <v>127</v>
      </c>
      <c r="K123" s="42">
        <f t="shared" ref="K123:O123" si="112">IFERROR(C123/$C123*100, "")</f>
        <v>100</v>
      </c>
      <c r="L123" s="42">
        <f t="shared" si="112"/>
        <v>128.0906525</v>
      </c>
      <c r="M123" s="42">
        <f t="shared" si="112"/>
        <v>153.2523174</v>
      </c>
      <c r="N123" s="42">
        <f t="shared" si="112"/>
        <v>168.5819536</v>
      </c>
      <c r="O123" s="42">
        <f t="shared" si="112"/>
        <v>149.4384272</v>
      </c>
      <c r="P123" s="43"/>
      <c r="Q123" s="43"/>
    </row>
    <row r="124" ht="15.75" customHeight="1">
      <c r="A124" s="15" t="s">
        <v>128</v>
      </c>
      <c r="B124" s="44">
        <v>11449.6</v>
      </c>
      <c r="C124" s="17">
        <v>14807.4</v>
      </c>
      <c r="D124" s="17">
        <v>21531.2</v>
      </c>
      <c r="E124" s="17">
        <v>36743.0</v>
      </c>
      <c r="F124" s="17">
        <v>46481.3</v>
      </c>
      <c r="G124" s="17">
        <v>33425.1</v>
      </c>
      <c r="J124" s="45" t="s">
        <v>128</v>
      </c>
      <c r="K124" s="42">
        <f t="shared" ref="K124:O124" si="113">IFERROR(C124/$C124*100, "")</f>
        <v>100</v>
      </c>
      <c r="L124" s="42">
        <f t="shared" si="113"/>
        <v>145.4083769</v>
      </c>
      <c r="M124" s="42">
        <f t="shared" si="113"/>
        <v>248.1394438</v>
      </c>
      <c r="N124" s="42">
        <f t="shared" si="113"/>
        <v>313.9058849</v>
      </c>
      <c r="O124" s="42">
        <f t="shared" si="113"/>
        <v>225.7324041</v>
      </c>
      <c r="P124" s="43"/>
      <c r="Q124" s="43"/>
    </row>
    <row r="125" ht="15.75" customHeight="1">
      <c r="A125" s="20" t="s">
        <v>129</v>
      </c>
      <c r="B125" s="40">
        <v>2700.6</v>
      </c>
      <c r="C125" s="18">
        <v>3781.2</v>
      </c>
      <c r="D125" s="18">
        <v>9404.1</v>
      </c>
      <c r="E125" s="18">
        <v>9681.2</v>
      </c>
      <c r="F125" s="18">
        <v>13490.5</v>
      </c>
      <c r="G125" s="18">
        <v>6996.0</v>
      </c>
      <c r="J125" s="41" t="s">
        <v>129</v>
      </c>
      <c r="K125" s="42">
        <f t="shared" ref="K125:O125" si="114">IFERROR(C125/$C125*100, "")</f>
        <v>100</v>
      </c>
      <c r="L125" s="42">
        <f t="shared" si="114"/>
        <v>248.7067598</v>
      </c>
      <c r="M125" s="42">
        <f t="shared" si="114"/>
        <v>256.0351211</v>
      </c>
      <c r="N125" s="42">
        <f t="shared" si="114"/>
        <v>356.7782714</v>
      </c>
      <c r="O125" s="42">
        <f t="shared" si="114"/>
        <v>185.0206284</v>
      </c>
      <c r="P125" s="43"/>
      <c r="Q125" s="43"/>
    </row>
    <row r="126" ht="15.75" customHeight="1">
      <c r="A126" s="20" t="s">
        <v>130</v>
      </c>
      <c r="B126" s="40">
        <v>2700.6</v>
      </c>
      <c r="C126" s="18">
        <v>3781.2</v>
      </c>
      <c r="D126" s="18">
        <v>7966.7</v>
      </c>
      <c r="E126" s="18">
        <v>7166.9</v>
      </c>
      <c r="F126" s="18">
        <v>9802.3</v>
      </c>
      <c r="G126" s="18">
        <v>3199.8</v>
      </c>
      <c r="J126" s="41" t="s">
        <v>130</v>
      </c>
      <c r="K126" s="42">
        <f t="shared" ref="K126:O126" si="115">IFERROR(C126/$C126*100, "")</f>
        <v>100</v>
      </c>
      <c r="L126" s="42">
        <f t="shared" si="115"/>
        <v>210.6923728</v>
      </c>
      <c r="M126" s="42">
        <f t="shared" si="115"/>
        <v>189.5403576</v>
      </c>
      <c r="N126" s="42">
        <f t="shared" si="115"/>
        <v>259.2378081</v>
      </c>
      <c r="O126" s="42">
        <f t="shared" si="115"/>
        <v>84.62392891</v>
      </c>
      <c r="P126" s="43"/>
      <c r="Q126" s="43"/>
    </row>
    <row r="127" ht="15.75" customHeight="1">
      <c r="A127" s="20" t="s">
        <v>131</v>
      </c>
      <c r="B127" s="40">
        <v>0.0</v>
      </c>
      <c r="C127" s="18">
        <v>0.0</v>
      </c>
      <c r="D127" s="18">
        <v>1437.4</v>
      </c>
      <c r="E127" s="18">
        <v>2514.3</v>
      </c>
      <c r="F127" s="18">
        <v>3688.2</v>
      </c>
      <c r="G127" s="18">
        <v>3796.2</v>
      </c>
      <c r="J127" s="41" t="s">
        <v>131</v>
      </c>
      <c r="K127" s="42" t="str">
        <f t="shared" ref="K127:O127" si="116">IFERROR(C127/$C127*100, "")</f>
        <v/>
      </c>
      <c r="L127" s="42" t="str">
        <f t="shared" si="116"/>
        <v/>
      </c>
      <c r="M127" s="42" t="str">
        <f t="shared" si="116"/>
        <v/>
      </c>
      <c r="N127" s="42" t="str">
        <f t="shared" si="116"/>
        <v/>
      </c>
      <c r="O127" s="42" t="str">
        <f t="shared" si="116"/>
        <v/>
      </c>
      <c r="P127" s="43"/>
      <c r="Q127" s="43"/>
    </row>
    <row r="128" ht="15.75" customHeight="1">
      <c r="A128" s="22" t="s">
        <v>132</v>
      </c>
      <c r="B128" s="46">
        <v>0.0</v>
      </c>
      <c r="C128" s="24">
        <v>0.0</v>
      </c>
      <c r="D128" s="24" t="s">
        <v>26</v>
      </c>
      <c r="E128" s="24" t="s">
        <v>26</v>
      </c>
      <c r="F128" s="24" t="s">
        <v>26</v>
      </c>
      <c r="G128" s="24" t="s">
        <v>26</v>
      </c>
      <c r="J128" s="47" t="s">
        <v>132</v>
      </c>
      <c r="K128" s="42" t="str">
        <f t="shared" ref="K128:O128" si="117">IFERROR(C128/$C128*100, "")</f>
        <v/>
      </c>
      <c r="L128" s="42" t="str">
        <f t="shared" si="117"/>
        <v/>
      </c>
      <c r="M128" s="42" t="str">
        <f t="shared" si="117"/>
        <v/>
      </c>
      <c r="N128" s="42" t="str">
        <f t="shared" si="117"/>
        <v/>
      </c>
      <c r="O128" s="42" t="str">
        <f t="shared" si="117"/>
        <v/>
      </c>
      <c r="P128" s="43"/>
      <c r="Q128" s="43"/>
    </row>
    <row r="129" ht="15.75" customHeight="1">
      <c r="A129" s="20" t="s">
        <v>133</v>
      </c>
      <c r="B129" s="40">
        <v>126.4</v>
      </c>
      <c r="C129" s="18">
        <v>374.9</v>
      </c>
      <c r="D129" s="18">
        <v>478.4</v>
      </c>
      <c r="E129" s="18">
        <v>2028.8</v>
      </c>
      <c r="F129" s="18">
        <v>2275.0</v>
      </c>
      <c r="G129" s="18">
        <v>1804.1</v>
      </c>
      <c r="J129" s="41" t="s">
        <v>133</v>
      </c>
      <c r="K129" s="42">
        <f t="shared" ref="K129:O129" si="118">IFERROR(C129/$C129*100, "")</f>
        <v>100</v>
      </c>
      <c r="L129" s="42">
        <f t="shared" si="118"/>
        <v>127.607362</v>
      </c>
      <c r="M129" s="42">
        <f t="shared" si="118"/>
        <v>541.157642</v>
      </c>
      <c r="N129" s="42">
        <f t="shared" si="118"/>
        <v>606.8284876</v>
      </c>
      <c r="O129" s="42">
        <f t="shared" si="118"/>
        <v>481.2216591</v>
      </c>
      <c r="P129" s="43"/>
      <c r="Q129" s="43"/>
    </row>
    <row r="130" ht="15.75" customHeight="1">
      <c r="A130" s="20" t="s">
        <v>134</v>
      </c>
      <c r="B130" s="40">
        <v>0.0</v>
      </c>
      <c r="C130" s="18">
        <v>0.0</v>
      </c>
      <c r="D130" s="18">
        <v>0.0</v>
      </c>
      <c r="E130" s="18">
        <v>0.0</v>
      </c>
      <c r="F130" s="18">
        <v>0.0</v>
      </c>
      <c r="G130" s="18">
        <v>0.0</v>
      </c>
      <c r="J130" s="41" t="s">
        <v>134</v>
      </c>
      <c r="K130" s="42" t="str">
        <f t="shared" ref="K130:O130" si="119">IFERROR(C130/$C130*100, "")</f>
        <v/>
      </c>
      <c r="L130" s="42" t="str">
        <f t="shared" si="119"/>
        <v/>
      </c>
      <c r="M130" s="42" t="str">
        <f t="shared" si="119"/>
        <v/>
      </c>
      <c r="N130" s="42" t="str">
        <f t="shared" si="119"/>
        <v/>
      </c>
      <c r="O130" s="42" t="str">
        <f t="shared" si="119"/>
        <v/>
      </c>
      <c r="P130" s="43"/>
      <c r="Q130" s="43"/>
    </row>
    <row r="131" ht="15.75" customHeight="1">
      <c r="A131" s="20" t="s">
        <v>135</v>
      </c>
      <c r="B131" s="40">
        <v>4.5</v>
      </c>
      <c r="C131" s="18">
        <v>7.3</v>
      </c>
      <c r="D131" s="18">
        <v>7.1</v>
      </c>
      <c r="E131" s="18">
        <v>122.9</v>
      </c>
      <c r="F131" s="18">
        <v>205.9</v>
      </c>
      <c r="G131" s="18">
        <v>213.6</v>
      </c>
      <c r="J131" s="41" t="s">
        <v>135</v>
      </c>
      <c r="K131" s="42">
        <f t="shared" ref="K131:O131" si="120">IFERROR(C131/$C131*100, "")</f>
        <v>100</v>
      </c>
      <c r="L131" s="42">
        <f t="shared" si="120"/>
        <v>97.26027397</v>
      </c>
      <c r="M131" s="42">
        <f t="shared" si="120"/>
        <v>1683.561644</v>
      </c>
      <c r="N131" s="42">
        <f t="shared" si="120"/>
        <v>2820.547945</v>
      </c>
      <c r="O131" s="42">
        <f t="shared" si="120"/>
        <v>2926.027397</v>
      </c>
      <c r="P131" s="43"/>
      <c r="Q131" s="43"/>
    </row>
    <row r="132" ht="15.75" customHeight="1">
      <c r="A132" s="20" t="s">
        <v>136</v>
      </c>
      <c r="B132" s="40" t="s">
        <v>26</v>
      </c>
      <c r="C132" s="18" t="s">
        <v>26</v>
      </c>
      <c r="D132" s="18" t="s">
        <v>26</v>
      </c>
      <c r="E132" s="18" t="s">
        <v>26</v>
      </c>
      <c r="F132" s="18" t="s">
        <v>26</v>
      </c>
      <c r="G132" s="18" t="s">
        <v>26</v>
      </c>
      <c r="J132" s="41" t="s">
        <v>136</v>
      </c>
      <c r="K132" s="42" t="str">
        <f t="shared" ref="K132:O132" si="121">IFERROR(C132/$C132*100, "")</f>
        <v/>
      </c>
      <c r="L132" s="42" t="str">
        <f t="shared" si="121"/>
        <v/>
      </c>
      <c r="M132" s="42" t="str">
        <f t="shared" si="121"/>
        <v/>
      </c>
      <c r="N132" s="42" t="str">
        <f t="shared" si="121"/>
        <v/>
      </c>
      <c r="O132" s="42" t="str">
        <f t="shared" si="121"/>
        <v/>
      </c>
      <c r="P132" s="43"/>
      <c r="Q132" s="43"/>
    </row>
    <row r="133" ht="15.75" customHeight="1">
      <c r="A133" s="20" t="s">
        <v>125</v>
      </c>
      <c r="B133" s="40">
        <v>0.0</v>
      </c>
      <c r="C133" s="18">
        <v>0.0</v>
      </c>
      <c r="D133" s="18">
        <v>0.0</v>
      </c>
      <c r="E133" s="18">
        <v>0.0</v>
      </c>
      <c r="F133" s="18">
        <v>0.0</v>
      </c>
      <c r="G133" s="18">
        <v>0.0</v>
      </c>
      <c r="J133" s="41" t="s">
        <v>125</v>
      </c>
      <c r="K133" s="42" t="str">
        <f t="shared" ref="K133:O133" si="122">IFERROR(C133/$C133*100, "")</f>
        <v/>
      </c>
      <c r="L133" s="42" t="str">
        <f t="shared" si="122"/>
        <v/>
      </c>
      <c r="M133" s="42" t="str">
        <f t="shared" si="122"/>
        <v/>
      </c>
      <c r="N133" s="42" t="str">
        <f t="shared" si="122"/>
        <v/>
      </c>
      <c r="O133" s="42" t="str">
        <f t="shared" si="122"/>
        <v/>
      </c>
      <c r="P133" s="43"/>
      <c r="Q133" s="43"/>
    </row>
    <row r="134" ht="15.75" customHeight="1">
      <c r="A134" s="20" t="s">
        <v>137</v>
      </c>
      <c r="B134" s="40">
        <v>43.1</v>
      </c>
      <c r="C134" s="18">
        <v>14.6</v>
      </c>
      <c r="D134" s="18">
        <v>127.4</v>
      </c>
      <c r="E134" s="18">
        <v>1470.8</v>
      </c>
      <c r="F134" s="18">
        <v>1683.2</v>
      </c>
      <c r="G134" s="18">
        <v>1553.6</v>
      </c>
      <c r="J134" s="41" t="s">
        <v>137</v>
      </c>
      <c r="K134" s="42">
        <f t="shared" ref="K134:O134" si="123">IFERROR(C134/$C134*100, "")</f>
        <v>100</v>
      </c>
      <c r="L134" s="42">
        <f t="shared" si="123"/>
        <v>872.6027397</v>
      </c>
      <c r="M134" s="42">
        <f t="shared" si="123"/>
        <v>10073.9726</v>
      </c>
      <c r="N134" s="42">
        <f t="shared" si="123"/>
        <v>11528.76712</v>
      </c>
      <c r="O134" s="42">
        <f t="shared" si="123"/>
        <v>10641.09589</v>
      </c>
      <c r="P134" s="43"/>
      <c r="Q134" s="43"/>
    </row>
    <row r="135" ht="15.75" customHeight="1">
      <c r="A135" s="20" t="s">
        <v>126</v>
      </c>
      <c r="B135" s="40" t="s">
        <v>26</v>
      </c>
      <c r="C135" s="18" t="s">
        <v>26</v>
      </c>
      <c r="D135" s="18" t="s">
        <v>26</v>
      </c>
      <c r="E135" s="18">
        <v>0.0</v>
      </c>
      <c r="F135" s="18">
        <v>0.0</v>
      </c>
      <c r="G135" s="18">
        <v>0.0</v>
      </c>
      <c r="J135" s="41" t="s">
        <v>126</v>
      </c>
      <c r="K135" s="42" t="str">
        <f t="shared" ref="K135:O135" si="124">IFERROR(C135/$C135*100, "")</f>
        <v/>
      </c>
      <c r="L135" s="42" t="str">
        <f t="shared" si="124"/>
        <v/>
      </c>
      <c r="M135" s="42" t="str">
        <f t="shared" si="124"/>
        <v/>
      </c>
      <c r="N135" s="42" t="str">
        <f t="shared" si="124"/>
        <v/>
      </c>
      <c r="O135" s="42" t="str">
        <f t="shared" si="124"/>
        <v/>
      </c>
      <c r="P135" s="43"/>
      <c r="Q135" s="43"/>
    </row>
    <row r="136" ht="15.75" customHeight="1">
      <c r="A136" s="20" t="s">
        <v>138</v>
      </c>
      <c r="B136" s="40">
        <v>78.8</v>
      </c>
      <c r="C136" s="18">
        <v>353.0</v>
      </c>
      <c r="D136" s="18">
        <v>343.9</v>
      </c>
      <c r="E136" s="18">
        <v>435.1</v>
      </c>
      <c r="F136" s="18">
        <v>385.9</v>
      </c>
      <c r="G136" s="18">
        <v>36.9</v>
      </c>
      <c r="J136" s="41" t="s">
        <v>138</v>
      </c>
      <c r="K136" s="42">
        <f t="shared" ref="K136:O136" si="125">IFERROR(C136/$C136*100, "")</f>
        <v>100</v>
      </c>
      <c r="L136" s="42">
        <f t="shared" si="125"/>
        <v>97.42209632</v>
      </c>
      <c r="M136" s="42">
        <f t="shared" si="125"/>
        <v>123.2577904</v>
      </c>
      <c r="N136" s="42">
        <f t="shared" si="125"/>
        <v>109.3201133</v>
      </c>
      <c r="O136" s="42">
        <f t="shared" si="125"/>
        <v>10.45325779</v>
      </c>
      <c r="P136" s="43"/>
      <c r="Q136" s="43"/>
    </row>
    <row r="137" ht="15.75" customHeight="1">
      <c r="A137" s="15" t="s">
        <v>139</v>
      </c>
      <c r="B137" s="44">
        <v>2827.0</v>
      </c>
      <c r="C137" s="17">
        <v>4156.1</v>
      </c>
      <c r="D137" s="17">
        <v>9882.5</v>
      </c>
      <c r="E137" s="17">
        <v>11710.0</v>
      </c>
      <c r="F137" s="17">
        <v>15765.5</v>
      </c>
      <c r="G137" s="17">
        <v>8800.1</v>
      </c>
      <c r="J137" s="45" t="s">
        <v>139</v>
      </c>
      <c r="K137" s="42">
        <f t="shared" ref="K137:O137" si="126">IFERROR(C137/$C137*100, "")</f>
        <v>100</v>
      </c>
      <c r="L137" s="42">
        <f t="shared" si="126"/>
        <v>237.7830177</v>
      </c>
      <c r="M137" s="42">
        <f t="shared" si="126"/>
        <v>281.7545295</v>
      </c>
      <c r="N137" s="42">
        <f t="shared" si="126"/>
        <v>379.333991</v>
      </c>
      <c r="O137" s="42">
        <f t="shared" si="126"/>
        <v>211.739371</v>
      </c>
      <c r="P137" s="43"/>
      <c r="Q137" s="43"/>
    </row>
    <row r="138" ht="15.75" customHeight="1">
      <c r="A138" s="15" t="s">
        <v>140</v>
      </c>
      <c r="B138" s="44">
        <v>14276.6</v>
      </c>
      <c r="C138" s="17">
        <v>18963.5</v>
      </c>
      <c r="D138" s="17">
        <v>31413.7</v>
      </c>
      <c r="E138" s="17">
        <v>48453.0</v>
      </c>
      <c r="F138" s="17">
        <v>62246.8</v>
      </c>
      <c r="G138" s="17">
        <v>42225.2</v>
      </c>
      <c r="J138" s="45" t="s">
        <v>140</v>
      </c>
      <c r="K138" s="42">
        <f t="shared" ref="K138:O138" si="127">IFERROR(C138/$C138*100, "")</f>
        <v>100</v>
      </c>
      <c r="L138" s="42">
        <f t="shared" si="127"/>
        <v>165.6534922</v>
      </c>
      <c r="M138" s="42">
        <f t="shared" si="127"/>
        <v>255.5066312</v>
      </c>
      <c r="N138" s="42">
        <f t="shared" si="127"/>
        <v>328.2453134</v>
      </c>
      <c r="O138" s="42">
        <f t="shared" si="127"/>
        <v>222.6656472</v>
      </c>
      <c r="P138" s="43"/>
      <c r="Q138" s="43"/>
    </row>
    <row r="139" ht="15.75" customHeight="1">
      <c r="A139" s="20" t="s">
        <v>141</v>
      </c>
      <c r="B139" s="40">
        <v>0.0</v>
      </c>
      <c r="C139" s="18">
        <v>0.0</v>
      </c>
      <c r="D139" s="18">
        <v>0.0</v>
      </c>
      <c r="E139" s="18">
        <v>0.0</v>
      </c>
      <c r="F139" s="18">
        <v>0.0</v>
      </c>
      <c r="G139" s="18">
        <v>0.0</v>
      </c>
      <c r="J139" s="41" t="s">
        <v>141</v>
      </c>
      <c r="K139" s="42" t="str">
        <f t="shared" ref="K139:O139" si="128">IFERROR(C139/$C139*100, "")</f>
        <v/>
      </c>
      <c r="L139" s="42" t="str">
        <f t="shared" si="128"/>
        <v/>
      </c>
      <c r="M139" s="42" t="str">
        <f t="shared" si="128"/>
        <v/>
      </c>
      <c r="N139" s="42" t="str">
        <f t="shared" si="128"/>
        <v/>
      </c>
      <c r="O139" s="42" t="str">
        <f t="shared" si="128"/>
        <v/>
      </c>
      <c r="P139" s="43"/>
      <c r="Q139" s="43"/>
    </row>
    <row r="140" ht="15.75" customHeight="1">
      <c r="A140" s="20" t="s">
        <v>142</v>
      </c>
      <c r="B140" s="40">
        <v>3787.7</v>
      </c>
      <c r="C140" s="18">
        <v>3782.1</v>
      </c>
      <c r="D140" s="18">
        <v>3782.1</v>
      </c>
      <c r="E140" s="18">
        <v>3782.1</v>
      </c>
      <c r="F140" s="18">
        <v>3782.1</v>
      </c>
      <c r="G140" s="18">
        <v>491.4</v>
      </c>
      <c r="J140" s="41" t="s">
        <v>142</v>
      </c>
      <c r="K140" s="42">
        <f t="shared" ref="K140:O140" si="129">IFERROR(C140/$C140*100, "")</f>
        <v>100</v>
      </c>
      <c r="L140" s="42">
        <f t="shared" si="129"/>
        <v>100</v>
      </c>
      <c r="M140" s="42">
        <f t="shared" si="129"/>
        <v>100</v>
      </c>
      <c r="N140" s="42">
        <f t="shared" si="129"/>
        <v>100</v>
      </c>
      <c r="O140" s="42">
        <f t="shared" si="129"/>
        <v>12.99278179</v>
      </c>
      <c r="P140" s="43"/>
      <c r="Q140" s="43"/>
    </row>
    <row r="141" ht="15.75" customHeight="1">
      <c r="A141" s="20" t="s">
        <v>143</v>
      </c>
      <c r="B141" s="40">
        <v>491.4</v>
      </c>
      <c r="C141" s="18">
        <v>491.4</v>
      </c>
      <c r="D141" s="18">
        <v>491.4</v>
      </c>
      <c r="E141" s="18">
        <v>491.4</v>
      </c>
      <c r="F141" s="18">
        <v>491.4</v>
      </c>
      <c r="G141" s="18">
        <v>491.4</v>
      </c>
      <c r="J141" s="41" t="s">
        <v>143</v>
      </c>
      <c r="K141" s="42">
        <f t="shared" ref="K141:O141" si="130">IFERROR(C141/$C141*100, "")</f>
        <v>100</v>
      </c>
      <c r="L141" s="42">
        <f t="shared" si="130"/>
        <v>100</v>
      </c>
      <c r="M141" s="42">
        <f t="shared" si="130"/>
        <v>100</v>
      </c>
      <c r="N141" s="42">
        <f t="shared" si="130"/>
        <v>100</v>
      </c>
      <c r="O141" s="42">
        <f t="shared" si="130"/>
        <v>100</v>
      </c>
      <c r="P141" s="43"/>
      <c r="Q141" s="43"/>
    </row>
    <row r="142" ht="15.75" customHeight="1">
      <c r="A142" s="20" t="s">
        <v>144</v>
      </c>
      <c r="B142" s="40">
        <v>3296.3</v>
      </c>
      <c r="C142" s="18">
        <v>3290.7</v>
      </c>
      <c r="D142" s="18">
        <v>3290.7</v>
      </c>
      <c r="E142" s="18">
        <v>3290.7</v>
      </c>
      <c r="F142" s="18">
        <v>3290.7</v>
      </c>
      <c r="G142" s="18">
        <v>0.0</v>
      </c>
      <c r="J142" s="41" t="s">
        <v>144</v>
      </c>
      <c r="K142" s="42">
        <f t="shared" ref="K142:O142" si="131">IFERROR(C142/$C142*100, "")</f>
        <v>100</v>
      </c>
      <c r="L142" s="42">
        <f t="shared" si="131"/>
        <v>100</v>
      </c>
      <c r="M142" s="42">
        <f t="shared" si="131"/>
        <v>100</v>
      </c>
      <c r="N142" s="42">
        <f t="shared" si="131"/>
        <v>100</v>
      </c>
      <c r="O142" s="42">
        <f t="shared" si="131"/>
        <v>0</v>
      </c>
      <c r="P142" s="43"/>
      <c r="Q142" s="43"/>
    </row>
    <row r="143" ht="15.75" customHeight="1">
      <c r="A143" s="20" t="s">
        <v>145</v>
      </c>
      <c r="B143" s="40">
        <v>0.0</v>
      </c>
      <c r="C143" s="18">
        <v>0.0</v>
      </c>
      <c r="D143" s="18">
        <v>0.0</v>
      </c>
      <c r="E143" s="18">
        <v>0.0</v>
      </c>
      <c r="F143" s="18">
        <v>0.0</v>
      </c>
      <c r="G143" s="18">
        <v>0.0</v>
      </c>
      <c r="J143" s="41" t="s">
        <v>145</v>
      </c>
      <c r="K143" s="42" t="str">
        <f t="shared" ref="K143:O143" si="132">IFERROR(C143/$C143*100, "")</f>
        <v/>
      </c>
      <c r="L143" s="42" t="str">
        <f t="shared" si="132"/>
        <v/>
      </c>
      <c r="M143" s="42" t="str">
        <f t="shared" si="132"/>
        <v/>
      </c>
      <c r="N143" s="42" t="str">
        <f t="shared" si="132"/>
        <v/>
      </c>
      <c r="O143" s="42" t="str">
        <f t="shared" si="132"/>
        <v/>
      </c>
      <c r="P143" s="43"/>
      <c r="Q143" s="43"/>
    </row>
    <row r="144" ht="15.75" customHeight="1">
      <c r="A144" s="20" t="s">
        <v>146</v>
      </c>
      <c r="B144" s="40">
        <v>14178.8</v>
      </c>
      <c r="C144" s="18">
        <v>14655.2</v>
      </c>
      <c r="D144" s="18">
        <v>15780.9</v>
      </c>
      <c r="E144" s="18">
        <v>16979.9</v>
      </c>
      <c r="F144" s="18">
        <v>25558.6</v>
      </c>
      <c r="G144" s="18">
        <v>24536.9</v>
      </c>
      <c r="J144" s="41" t="s">
        <v>146</v>
      </c>
      <c r="K144" s="42">
        <f t="shared" ref="K144:O144" si="133">IFERROR(C144/$C144*100, "")</f>
        <v>100</v>
      </c>
      <c r="L144" s="42">
        <f t="shared" si="133"/>
        <v>107.6812326</v>
      </c>
      <c r="M144" s="42">
        <f t="shared" si="133"/>
        <v>115.862629</v>
      </c>
      <c r="N144" s="42">
        <f t="shared" si="133"/>
        <v>174.3995305</v>
      </c>
      <c r="O144" s="42">
        <f t="shared" si="133"/>
        <v>167.4279437</v>
      </c>
      <c r="P144" s="43"/>
      <c r="Q144" s="43"/>
    </row>
    <row r="145" ht="15.75" customHeight="1">
      <c r="A145" s="20" t="s">
        <v>147</v>
      </c>
      <c r="B145" s="40">
        <v>1677.3</v>
      </c>
      <c r="C145" s="18">
        <v>1550.5</v>
      </c>
      <c r="D145" s="18">
        <v>1894.0</v>
      </c>
      <c r="E145" s="18">
        <v>2073.4</v>
      </c>
      <c r="F145" s="18">
        <v>2276.9</v>
      </c>
      <c r="G145" s="18">
        <v>3113.9</v>
      </c>
      <c r="J145" s="41" t="s">
        <v>147</v>
      </c>
      <c r="K145" s="42">
        <f t="shared" ref="K145:O145" si="134">IFERROR(C145/$C145*100, "")</f>
        <v>100</v>
      </c>
      <c r="L145" s="42">
        <f t="shared" si="134"/>
        <v>122.1541438</v>
      </c>
      <c r="M145" s="42">
        <f t="shared" si="134"/>
        <v>133.724605</v>
      </c>
      <c r="N145" s="42">
        <f t="shared" si="134"/>
        <v>146.8494034</v>
      </c>
      <c r="O145" s="42">
        <f t="shared" si="134"/>
        <v>200.8319897</v>
      </c>
      <c r="P145" s="43"/>
      <c r="Q145" s="43"/>
    </row>
    <row r="146" ht="15.75" customHeight="1">
      <c r="A146" s="15" t="s">
        <v>148</v>
      </c>
      <c r="B146" s="44">
        <v>19643.8</v>
      </c>
      <c r="C146" s="17">
        <v>19987.8</v>
      </c>
      <c r="D146" s="17">
        <v>21457.0</v>
      </c>
      <c r="E146" s="17">
        <v>22835.4</v>
      </c>
      <c r="F146" s="17">
        <v>31617.6</v>
      </c>
      <c r="G146" s="17">
        <v>28142.2</v>
      </c>
      <c r="J146" s="45" t="s">
        <v>148</v>
      </c>
      <c r="K146" s="42">
        <f t="shared" ref="K146:O146" si="135">IFERROR(C146/$C146*100, "")</f>
        <v>100</v>
      </c>
      <c r="L146" s="42">
        <f t="shared" si="135"/>
        <v>107.3504838</v>
      </c>
      <c r="M146" s="42">
        <f t="shared" si="135"/>
        <v>114.2466905</v>
      </c>
      <c r="N146" s="42">
        <f t="shared" si="135"/>
        <v>158.1844925</v>
      </c>
      <c r="O146" s="42">
        <f t="shared" si="135"/>
        <v>140.7968861</v>
      </c>
      <c r="P146" s="43"/>
      <c r="Q146" s="43"/>
    </row>
    <row r="147" ht="15.75" customHeight="1">
      <c r="A147" s="20" t="s">
        <v>149</v>
      </c>
      <c r="B147" s="40">
        <v>171.7</v>
      </c>
      <c r="C147" s="18">
        <v>207.0</v>
      </c>
      <c r="D147" s="18">
        <v>266.1</v>
      </c>
      <c r="E147" s="18">
        <v>3313.7</v>
      </c>
      <c r="F147" s="18">
        <v>3836.6</v>
      </c>
      <c r="G147" s="18">
        <v>3000.0</v>
      </c>
      <c r="J147" s="41" t="s">
        <v>149</v>
      </c>
      <c r="K147" s="42">
        <f t="shared" ref="K147:O147" si="136">IFERROR(C147/$C147*100, "")</f>
        <v>100</v>
      </c>
      <c r="L147" s="42">
        <f t="shared" si="136"/>
        <v>128.5507246</v>
      </c>
      <c r="M147" s="42">
        <f t="shared" si="136"/>
        <v>1600.821256</v>
      </c>
      <c r="N147" s="42">
        <f t="shared" si="136"/>
        <v>1853.429952</v>
      </c>
      <c r="O147" s="42">
        <f t="shared" si="136"/>
        <v>1449.275362</v>
      </c>
      <c r="P147" s="43"/>
      <c r="Q147" s="43"/>
    </row>
    <row r="148" ht="15.75" customHeight="1">
      <c r="A148" s="15" t="s">
        <v>150</v>
      </c>
      <c r="B148" s="44">
        <v>19815.5</v>
      </c>
      <c r="C148" s="17">
        <v>20194.8</v>
      </c>
      <c r="D148" s="17">
        <v>21723.1</v>
      </c>
      <c r="E148" s="17">
        <v>26149.1</v>
      </c>
      <c r="F148" s="17">
        <v>35454.2</v>
      </c>
      <c r="G148" s="17">
        <v>31142.2</v>
      </c>
      <c r="J148" s="45" t="s">
        <v>150</v>
      </c>
      <c r="K148" s="42">
        <f t="shared" ref="K148:O148" si="137">IFERROR(C148/$C148*100, "")</f>
        <v>100</v>
      </c>
      <c r="L148" s="42">
        <f t="shared" si="137"/>
        <v>107.5677897</v>
      </c>
      <c r="M148" s="42">
        <f t="shared" si="137"/>
        <v>129.4843227</v>
      </c>
      <c r="N148" s="42">
        <f t="shared" si="137"/>
        <v>175.5610355</v>
      </c>
      <c r="O148" s="42">
        <f t="shared" si="137"/>
        <v>154.2090043</v>
      </c>
      <c r="P148" s="43"/>
      <c r="Q148" s="43"/>
    </row>
    <row r="149" ht="15.75" customHeight="1">
      <c r="A149" s="15" t="s">
        <v>151</v>
      </c>
      <c r="B149" s="44">
        <v>34092.1</v>
      </c>
      <c r="C149" s="17">
        <v>39158.3</v>
      </c>
      <c r="D149" s="17">
        <v>53136.8</v>
      </c>
      <c r="E149" s="17">
        <v>74602.1</v>
      </c>
      <c r="F149" s="17">
        <v>97701.0</v>
      </c>
      <c r="G149" s="17">
        <v>73367.4</v>
      </c>
      <c r="J149" s="48" t="s">
        <v>151</v>
      </c>
      <c r="K149" s="42">
        <f t="shared" ref="K149:O149" si="138">IFERROR(C149/$C149*100, "")</f>
        <v>100</v>
      </c>
      <c r="L149" s="42">
        <f t="shared" si="138"/>
        <v>135.6974128</v>
      </c>
      <c r="M149" s="42">
        <f t="shared" si="138"/>
        <v>190.5141439</v>
      </c>
      <c r="N149" s="42">
        <f t="shared" si="138"/>
        <v>249.5026597</v>
      </c>
      <c r="O149" s="42">
        <f t="shared" si="138"/>
        <v>187.3610448</v>
      </c>
      <c r="P149" s="43"/>
      <c r="Q149" s="43"/>
    </row>
    <row r="150" ht="15.75" customHeight="1">
      <c r="A150" s="30"/>
      <c r="B150" s="49"/>
      <c r="C150" s="50"/>
      <c r="D150" s="50"/>
      <c r="E150" s="50"/>
      <c r="F150" s="50"/>
      <c r="G150" s="50"/>
      <c r="J150" s="51"/>
      <c r="K150" s="42" t="str">
        <f t="shared" ref="K150:O150" si="139">IFERROR(C118/$C118*100, "")</f>
        <v/>
      </c>
      <c r="L150" s="42" t="str">
        <f t="shared" si="139"/>
        <v/>
      </c>
      <c r="M150" s="42" t="str">
        <f t="shared" si="139"/>
        <v/>
      </c>
      <c r="N150" s="42" t="str">
        <f t="shared" si="139"/>
        <v/>
      </c>
      <c r="O150" s="42" t="str">
        <f t="shared" si="139"/>
        <v/>
      </c>
      <c r="P150" s="43"/>
      <c r="Q150" s="43"/>
    </row>
    <row r="151" ht="15.75" customHeight="1">
      <c r="A151" s="52"/>
      <c r="B151" s="53"/>
      <c r="C151" s="53"/>
      <c r="D151" s="53"/>
      <c r="E151" s="53"/>
      <c r="F151" s="53"/>
      <c r="G151" s="53"/>
      <c r="J151" s="52"/>
      <c r="K151" s="54"/>
      <c r="L151" s="54"/>
      <c r="M151" s="54"/>
      <c r="N151" s="54"/>
      <c r="O151" s="54"/>
      <c r="P151" s="54"/>
      <c r="Q151" s="54"/>
    </row>
    <row r="152" ht="15.75" customHeight="1">
      <c r="A152" s="55" t="s">
        <v>152</v>
      </c>
      <c r="B152" s="56"/>
      <c r="C152" s="56"/>
      <c r="D152" s="56"/>
      <c r="E152" s="56"/>
      <c r="F152" s="56"/>
      <c r="G152" s="57"/>
      <c r="J152" s="58"/>
      <c r="K152" s="54"/>
      <c r="L152" s="54"/>
      <c r="M152" s="54"/>
      <c r="N152" s="54"/>
      <c r="O152" s="54"/>
      <c r="P152" s="54"/>
      <c r="Q152" s="54"/>
    </row>
    <row r="153" ht="15.75" customHeight="1">
      <c r="A153" s="59" t="s">
        <v>153</v>
      </c>
      <c r="B153" s="60" t="s">
        <v>154</v>
      </c>
      <c r="C153" s="60" t="s">
        <v>154</v>
      </c>
      <c r="D153" s="60" t="s">
        <v>154</v>
      </c>
      <c r="E153" s="60" t="s">
        <v>154</v>
      </c>
      <c r="F153" s="60" t="s">
        <v>154</v>
      </c>
      <c r="G153" s="61"/>
      <c r="J153" s="58"/>
      <c r="K153" s="54"/>
      <c r="L153" s="54"/>
      <c r="M153" s="54"/>
      <c r="N153" s="54"/>
      <c r="O153" s="54"/>
      <c r="P153" s="54"/>
      <c r="Q153" s="54"/>
    </row>
    <row r="154" ht="15.75" customHeight="1">
      <c r="A154" s="59" t="s">
        <v>155</v>
      </c>
      <c r="B154" s="62">
        <v>4485.1</v>
      </c>
      <c r="C154" s="62">
        <v>5089.3</v>
      </c>
      <c r="D154" s="62">
        <v>7335.3</v>
      </c>
      <c r="E154" s="62">
        <v>14476.2</v>
      </c>
      <c r="F154" s="62">
        <v>11967.9</v>
      </c>
      <c r="G154" s="61"/>
      <c r="J154" s="58"/>
      <c r="K154" s="54"/>
      <c r="L154" s="54"/>
      <c r="M154" s="54"/>
      <c r="N154" s="54"/>
      <c r="O154" s="54"/>
      <c r="P154" s="54"/>
      <c r="Q154" s="54"/>
    </row>
    <row r="155" ht="15.75" customHeight="1">
      <c r="A155" s="59" t="s">
        <v>156</v>
      </c>
      <c r="B155" s="63">
        <v>6.5177</v>
      </c>
      <c r="C155" s="63">
        <v>6.9349</v>
      </c>
      <c r="D155" s="63">
        <v>6.9937</v>
      </c>
      <c r="E155" s="63">
        <v>7.5942</v>
      </c>
      <c r="F155" s="63">
        <v>6.6301</v>
      </c>
      <c r="G155" s="61"/>
      <c r="J155" s="58"/>
      <c r="K155" s="54"/>
      <c r="L155" s="54"/>
      <c r="M155" s="54"/>
      <c r="N155" s="54"/>
      <c r="O155" s="54"/>
      <c r="P155" s="54"/>
      <c r="Q155" s="54"/>
    </row>
    <row r="156" ht="15.75" customHeight="1">
      <c r="A156" s="59" t="s">
        <v>157</v>
      </c>
      <c r="B156" s="62">
        <v>3222.2</v>
      </c>
      <c r="C156" s="62">
        <v>3223.2</v>
      </c>
      <c r="D156" s="62">
        <v>5062.6</v>
      </c>
      <c r="E156" s="62">
        <v>14083.3</v>
      </c>
      <c r="F156" s="62">
        <v>11537.3</v>
      </c>
      <c r="G156" s="61"/>
      <c r="J156" s="58"/>
      <c r="K156" s="54"/>
      <c r="L156" s="54"/>
      <c r="M156" s="54"/>
      <c r="N156" s="54"/>
      <c r="O156" s="54"/>
      <c r="P156" s="54"/>
      <c r="Q156" s="54"/>
    </row>
    <row r="157" ht="15.75" customHeight="1">
      <c r="A157" s="59" t="s">
        <v>158</v>
      </c>
      <c r="B157" s="62">
        <v>2925.8</v>
      </c>
      <c r="C157" s="62">
        <v>2773.2</v>
      </c>
      <c r="D157" s="62">
        <v>4274.4</v>
      </c>
      <c r="E157" s="62">
        <v>11042.6</v>
      </c>
      <c r="F157" s="62">
        <v>9187.8</v>
      </c>
      <c r="G157" s="61"/>
      <c r="J157" s="58"/>
      <c r="K157" s="54"/>
      <c r="L157" s="54"/>
      <c r="M157" s="54"/>
      <c r="N157" s="54"/>
      <c r="O157" s="54"/>
      <c r="P157" s="54"/>
      <c r="Q157" s="54"/>
    </row>
    <row r="158" ht="15.75" customHeight="1">
      <c r="A158" s="59" t="s">
        <v>159</v>
      </c>
      <c r="B158" s="63">
        <v>4.2517</v>
      </c>
      <c r="C158" s="63">
        <v>3.7789</v>
      </c>
      <c r="D158" s="63">
        <v>4.0753</v>
      </c>
      <c r="E158" s="63">
        <v>5.793</v>
      </c>
      <c r="F158" s="63">
        <v>5.09</v>
      </c>
      <c r="G158" s="64"/>
      <c r="J158" s="58"/>
      <c r="K158" s="54"/>
      <c r="L158" s="54"/>
      <c r="M158" s="54"/>
      <c r="N158" s="54"/>
      <c r="O158" s="54"/>
      <c r="P158" s="54"/>
      <c r="Q158" s="54"/>
    </row>
    <row r="159" ht="15.75" customHeight="1">
      <c r="A159" s="59" t="s">
        <v>160</v>
      </c>
      <c r="B159" s="63">
        <v>3.3179</v>
      </c>
      <c r="C159" s="63">
        <v>2.9146</v>
      </c>
      <c r="D159" s="63">
        <v>1.5787</v>
      </c>
      <c r="E159" s="63">
        <v>4.2568</v>
      </c>
      <c r="F159" s="63">
        <v>3.6258</v>
      </c>
      <c r="G159" s="64"/>
      <c r="J159" s="58"/>
      <c r="K159" s="54"/>
      <c r="L159" s="54"/>
      <c r="M159" s="54"/>
      <c r="N159" s="54"/>
      <c r="O159" s="54"/>
      <c r="P159" s="54"/>
      <c r="Q159" s="54"/>
    </row>
    <row r="160" ht="15.75" customHeight="1">
      <c r="A160" s="59" t="s">
        <v>161</v>
      </c>
      <c r="B160" s="63">
        <v>1.7203525E7</v>
      </c>
      <c r="C160" s="63">
        <v>2.20315220654E7</v>
      </c>
      <c r="D160" s="63">
        <v>1.125370171674E8</v>
      </c>
      <c r="E160" s="63">
        <v>1.987702815433E8</v>
      </c>
      <c r="F160" s="63">
        <v>2.442594046008E8</v>
      </c>
      <c r="G160" s="61"/>
      <c r="J160" s="58"/>
      <c r="K160" s="54"/>
      <c r="L160" s="54"/>
      <c r="M160" s="54"/>
      <c r="N160" s="54"/>
      <c r="O160" s="54"/>
      <c r="P160" s="54"/>
      <c r="Q160" s="54"/>
    </row>
    <row r="161" ht="15.75" customHeight="1">
      <c r="A161" s="59" t="s">
        <v>162</v>
      </c>
      <c r="B161" s="63">
        <v>5.5</v>
      </c>
      <c r="C161" s="63">
        <v>3.0</v>
      </c>
      <c r="D161" s="63">
        <v>2.0</v>
      </c>
      <c r="E161" s="63">
        <v>2.0</v>
      </c>
      <c r="F161" s="63">
        <v>3.25</v>
      </c>
      <c r="G161" s="61"/>
      <c r="J161" s="58"/>
      <c r="K161" s="54"/>
      <c r="L161" s="54"/>
      <c r="M161" s="54"/>
      <c r="N161" s="54"/>
      <c r="O161" s="54"/>
      <c r="P161" s="54"/>
      <c r="Q161" s="54"/>
    </row>
    <row r="162" ht="15.75" customHeight="1">
      <c r="A162" s="59" t="s">
        <v>163</v>
      </c>
      <c r="B162" s="62">
        <v>1351.3254</v>
      </c>
      <c r="C162" s="62">
        <v>737.0866</v>
      </c>
      <c r="D162" s="62">
        <v>491.391</v>
      </c>
      <c r="E162" s="62">
        <v>491.391</v>
      </c>
      <c r="F162" s="62">
        <v>798.5105</v>
      </c>
      <c r="G162" s="61"/>
      <c r="J162" s="58"/>
      <c r="K162" s="54"/>
      <c r="L162" s="54"/>
      <c r="M162" s="54"/>
      <c r="N162" s="54"/>
      <c r="O162" s="54"/>
      <c r="P162" s="54"/>
      <c r="Q162" s="54"/>
    </row>
    <row r="163" ht="15.75" customHeight="1">
      <c r="A163" s="59" t="s">
        <v>164</v>
      </c>
      <c r="B163" s="62" t="s">
        <v>26</v>
      </c>
      <c r="C163" s="62" t="s">
        <v>26</v>
      </c>
      <c r="D163" s="62" t="s">
        <v>26</v>
      </c>
      <c r="E163" s="62" t="s">
        <v>26</v>
      </c>
      <c r="F163" s="62" t="s">
        <v>26</v>
      </c>
      <c r="G163" s="64"/>
      <c r="J163" s="58"/>
      <c r="K163" s="54"/>
      <c r="L163" s="54"/>
      <c r="M163" s="54"/>
      <c r="N163" s="54"/>
      <c r="O163" s="54"/>
      <c r="P163" s="54"/>
      <c r="Q163" s="54"/>
    </row>
    <row r="164" ht="15.75" customHeight="1">
      <c r="A164" s="59" t="s">
        <v>165</v>
      </c>
      <c r="B164" s="62">
        <v>10696.4</v>
      </c>
      <c r="C164" s="62">
        <v>11122.0</v>
      </c>
      <c r="D164" s="62">
        <v>13153.2</v>
      </c>
      <c r="E164" s="62">
        <v>16141.1</v>
      </c>
      <c r="F164" s="62">
        <v>19071.3</v>
      </c>
      <c r="G164" s="64"/>
      <c r="J164" s="58"/>
      <c r="K164" s="54"/>
      <c r="L164" s="54"/>
      <c r="M164" s="54"/>
      <c r="N164" s="54"/>
      <c r="O164" s="54"/>
      <c r="P164" s="54"/>
      <c r="Q164" s="54"/>
    </row>
    <row r="165" ht="15.75" customHeight="1">
      <c r="A165" s="59" t="s">
        <v>166</v>
      </c>
      <c r="B165" s="62" t="s">
        <v>26</v>
      </c>
      <c r="C165" s="62" t="s">
        <v>26</v>
      </c>
      <c r="D165" s="62" t="s">
        <v>26</v>
      </c>
      <c r="E165" s="62" t="s">
        <v>26</v>
      </c>
      <c r="F165" s="62" t="s">
        <v>26</v>
      </c>
      <c r="G165" s="64"/>
      <c r="J165" s="58"/>
      <c r="K165" s="54"/>
      <c r="L165" s="54"/>
      <c r="M165" s="54"/>
      <c r="N165" s="54"/>
      <c r="O165" s="54"/>
      <c r="P165" s="54"/>
      <c r="Q165" s="54"/>
    </row>
    <row r="166" ht="15.75" customHeight="1">
      <c r="A166" s="59" t="s">
        <v>167</v>
      </c>
      <c r="B166" s="62">
        <v>1262.9</v>
      </c>
      <c r="C166" s="62">
        <v>1866.1</v>
      </c>
      <c r="D166" s="62">
        <v>2272.7</v>
      </c>
      <c r="E166" s="62">
        <v>392.9</v>
      </c>
      <c r="F166" s="62">
        <v>430.6</v>
      </c>
    </row>
    <row r="167" ht="15.75" customHeight="1">
      <c r="A167" s="59" t="s">
        <v>168</v>
      </c>
      <c r="B167" s="62">
        <v>947.1</v>
      </c>
      <c r="C167" s="62">
        <v>312.3</v>
      </c>
      <c r="D167" s="62">
        <v>782.7</v>
      </c>
      <c r="E167" s="62">
        <v>690.6</v>
      </c>
      <c r="F167" s="62">
        <v>703.4</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7" width="11.86"/>
    <col customWidth="1" min="8" max="9" width="8.71"/>
    <col customWidth="1" min="10" max="10" width="27.86"/>
    <col customWidth="1" min="11" max="12" width="11.14"/>
    <col customWidth="1" min="13" max="13" width="11.29"/>
    <col customWidth="1" min="14" max="14" width="12.14"/>
    <col customWidth="1" min="15" max="15" width="12.29"/>
    <col customWidth="1" min="16" max="29" width="8.71"/>
  </cols>
  <sheetData>
    <row r="1">
      <c r="A1" s="2" t="s">
        <v>169</v>
      </c>
      <c r="B1" s="3"/>
      <c r="C1" s="3"/>
      <c r="D1" s="3"/>
      <c r="E1" s="3"/>
      <c r="F1" s="3"/>
      <c r="G1" s="3"/>
    </row>
    <row r="2">
      <c r="A2" s="65"/>
      <c r="B2" s="6"/>
      <c r="C2" s="66"/>
      <c r="D2" s="66"/>
      <c r="E2" s="66"/>
      <c r="F2" s="66"/>
      <c r="G2" s="66"/>
    </row>
    <row r="3">
      <c r="A3" s="8" t="s">
        <v>7</v>
      </c>
      <c r="B3" s="9" t="s">
        <v>8</v>
      </c>
      <c r="C3" s="10" t="s">
        <v>9</v>
      </c>
      <c r="D3" s="10" t="s">
        <v>10</v>
      </c>
      <c r="E3" s="10" t="s">
        <v>11</v>
      </c>
      <c r="F3" s="10" t="s">
        <v>12</v>
      </c>
      <c r="G3" s="10" t="s">
        <v>13</v>
      </c>
      <c r="J3" s="8" t="s">
        <v>7</v>
      </c>
      <c r="K3" s="10" t="s">
        <v>9</v>
      </c>
      <c r="L3" s="10" t="s">
        <v>10</v>
      </c>
      <c r="M3" s="10" t="s">
        <v>11</v>
      </c>
      <c r="N3" s="10" t="s">
        <v>12</v>
      </c>
      <c r="O3" s="10" t="s">
        <v>13</v>
      </c>
    </row>
    <row r="4">
      <c r="A4" s="12" t="s">
        <v>14</v>
      </c>
      <c r="B4" s="13" t="s">
        <v>15</v>
      </c>
      <c r="C4" s="14" t="s">
        <v>16</v>
      </c>
      <c r="D4" s="14" t="s">
        <v>17</v>
      </c>
      <c r="E4" s="14" t="s">
        <v>18</v>
      </c>
      <c r="F4" s="14" t="s">
        <v>19</v>
      </c>
      <c r="G4" s="14" t="s">
        <v>20</v>
      </c>
      <c r="J4" s="12" t="s">
        <v>14</v>
      </c>
      <c r="K4" s="14" t="s">
        <v>16</v>
      </c>
      <c r="L4" s="14" t="s">
        <v>17</v>
      </c>
      <c r="M4" s="14" t="s">
        <v>18</v>
      </c>
      <c r="N4" s="14" t="s">
        <v>19</v>
      </c>
      <c r="O4" s="14" t="s">
        <v>20</v>
      </c>
    </row>
    <row r="5">
      <c r="A5" s="15" t="s">
        <v>21</v>
      </c>
      <c r="B5" s="16">
        <v>60335.4</v>
      </c>
      <c r="C5" s="17">
        <v>68814.1</v>
      </c>
      <c r="D5" s="17">
        <v>73387.0</v>
      </c>
      <c r="E5" s="17">
        <v>104884.5</v>
      </c>
      <c r="F5" s="17">
        <v>190620.7</v>
      </c>
      <c r="G5" s="17">
        <v>180507.7</v>
      </c>
      <c r="J5" s="15" t="s">
        <v>21</v>
      </c>
      <c r="K5" s="67">
        <f t="shared" ref="K5:K63" si="1">IFERROR(C5/$C$5*100,"")</f>
        <v>100</v>
      </c>
      <c r="L5" s="68">
        <f t="shared" ref="L5:L63" si="2">IFERROR(D5/$D$5*100,"")</f>
        <v>100</v>
      </c>
      <c r="M5" s="68">
        <f t="shared" ref="M5:M63" si="3">IFERROR(E5/$E$5*100,"")</f>
        <v>100</v>
      </c>
      <c r="N5" s="68">
        <f t="shared" ref="N5:N63" si="4">IFERROR(F5/$F$5*100,"")</f>
        <v>100</v>
      </c>
      <c r="O5" s="68">
        <f t="shared" ref="O5:O63" si="5">IFERROR(G5/$G$5*100,"")</f>
        <v>100</v>
      </c>
    </row>
    <row r="6">
      <c r="A6" s="20" t="s">
        <v>22</v>
      </c>
      <c r="B6" s="21">
        <v>60335.4</v>
      </c>
      <c r="C6" s="18">
        <v>68814.1</v>
      </c>
      <c r="D6" s="18">
        <v>73387.0</v>
      </c>
      <c r="E6" s="18">
        <v>104884.5</v>
      </c>
      <c r="F6" s="18">
        <v>190620.7</v>
      </c>
      <c r="G6" s="18">
        <v>180507.7</v>
      </c>
      <c r="J6" s="20" t="s">
        <v>22</v>
      </c>
      <c r="K6" s="67">
        <f t="shared" si="1"/>
        <v>100</v>
      </c>
      <c r="L6" s="68">
        <f t="shared" si="2"/>
        <v>100</v>
      </c>
      <c r="M6" s="68">
        <f t="shared" si="3"/>
        <v>100</v>
      </c>
      <c r="N6" s="68">
        <f t="shared" si="4"/>
        <v>100</v>
      </c>
      <c r="O6" s="68">
        <f t="shared" si="5"/>
        <v>100</v>
      </c>
    </row>
    <row r="7">
      <c r="A7" s="20" t="s">
        <v>23</v>
      </c>
      <c r="B7" s="21">
        <v>156.5</v>
      </c>
      <c r="C7" s="18">
        <v>134.5</v>
      </c>
      <c r="D7" s="18">
        <v>75.4</v>
      </c>
      <c r="E7" s="18">
        <v>96.5</v>
      </c>
      <c r="F7" s="18">
        <v>0.0</v>
      </c>
      <c r="G7" s="18">
        <v>0.0</v>
      </c>
      <c r="J7" s="20" t="s">
        <v>23</v>
      </c>
      <c r="K7" s="67">
        <f t="shared" si="1"/>
        <v>0.1954541293</v>
      </c>
      <c r="L7" s="68">
        <f t="shared" si="2"/>
        <v>0.1027429926</v>
      </c>
      <c r="M7" s="68">
        <f t="shared" si="3"/>
        <v>0.09200596847</v>
      </c>
      <c r="N7" s="68">
        <f t="shared" si="4"/>
        <v>0</v>
      </c>
      <c r="O7" s="68">
        <f t="shared" si="5"/>
        <v>0</v>
      </c>
    </row>
    <row r="8">
      <c r="A8" s="20" t="s">
        <v>24</v>
      </c>
      <c r="B8" s="21">
        <v>58311.2</v>
      </c>
      <c r="C8" s="18">
        <v>66022.8</v>
      </c>
      <c r="D8" s="18">
        <v>70689.2</v>
      </c>
      <c r="E8" s="18">
        <v>100706.6</v>
      </c>
      <c r="F8" s="18">
        <v>179578.1</v>
      </c>
      <c r="G8" s="18">
        <v>171319.9</v>
      </c>
      <c r="J8" s="20" t="s">
        <v>24</v>
      </c>
      <c r="K8" s="67">
        <f t="shared" si="1"/>
        <v>95.94370921</v>
      </c>
      <c r="L8" s="68">
        <f t="shared" si="2"/>
        <v>96.32387208</v>
      </c>
      <c r="M8" s="68">
        <f t="shared" si="3"/>
        <v>96.01666595</v>
      </c>
      <c r="N8" s="68">
        <f t="shared" si="4"/>
        <v>94.20702998</v>
      </c>
      <c r="O8" s="68">
        <f t="shared" si="5"/>
        <v>94.91002323</v>
      </c>
    </row>
    <row r="9">
      <c r="A9" s="20" t="s">
        <v>25</v>
      </c>
      <c r="B9" s="21" t="s">
        <v>26</v>
      </c>
      <c r="C9" s="18" t="s">
        <v>26</v>
      </c>
      <c r="D9" s="18" t="s">
        <v>26</v>
      </c>
      <c r="E9" s="18" t="s">
        <v>26</v>
      </c>
      <c r="F9" s="18" t="s">
        <v>26</v>
      </c>
      <c r="G9" s="18" t="s">
        <v>26</v>
      </c>
      <c r="J9" s="20" t="s">
        <v>25</v>
      </c>
      <c r="K9" s="67" t="str">
        <f t="shared" si="1"/>
        <v/>
      </c>
      <c r="L9" s="68" t="str">
        <f t="shared" si="2"/>
        <v/>
      </c>
      <c r="M9" s="68" t="str">
        <f t="shared" si="3"/>
        <v/>
      </c>
      <c r="N9" s="68" t="str">
        <f t="shared" si="4"/>
        <v/>
      </c>
      <c r="O9" s="68" t="str">
        <f t="shared" si="5"/>
        <v/>
      </c>
    </row>
    <row r="10">
      <c r="A10" s="22" t="s">
        <v>27</v>
      </c>
      <c r="B10" s="23">
        <v>282.3</v>
      </c>
      <c r="C10" s="24">
        <v>248.1</v>
      </c>
      <c r="D10" s="24">
        <v>264.4</v>
      </c>
      <c r="E10" s="24">
        <v>117.2</v>
      </c>
      <c r="F10" s="24">
        <v>0.0</v>
      </c>
      <c r="G10" s="24">
        <v>47.8</v>
      </c>
      <c r="J10" s="22" t="s">
        <v>27</v>
      </c>
      <c r="K10" s="67">
        <f t="shared" si="1"/>
        <v>0.3605365761</v>
      </c>
      <c r="L10" s="68">
        <f t="shared" si="2"/>
        <v>0.3602817938</v>
      </c>
      <c r="M10" s="68">
        <f t="shared" si="3"/>
        <v>0.1117419638</v>
      </c>
      <c r="N10" s="68">
        <f t="shared" si="4"/>
        <v>0</v>
      </c>
      <c r="O10" s="68">
        <f t="shared" si="5"/>
        <v>0.02648086481</v>
      </c>
    </row>
    <row r="11">
      <c r="A11" s="20" t="s">
        <v>28</v>
      </c>
      <c r="B11" s="21">
        <v>0.0</v>
      </c>
      <c r="C11" s="18">
        <v>0.0</v>
      </c>
      <c r="D11" s="18">
        <v>0.0</v>
      </c>
      <c r="E11" s="18">
        <v>0.0</v>
      </c>
      <c r="F11" s="18" t="s">
        <v>26</v>
      </c>
      <c r="G11" s="18" t="s">
        <v>26</v>
      </c>
      <c r="J11" s="20" t="s">
        <v>28</v>
      </c>
      <c r="K11" s="67">
        <f t="shared" si="1"/>
        <v>0</v>
      </c>
      <c r="L11" s="68">
        <f t="shared" si="2"/>
        <v>0</v>
      </c>
      <c r="M11" s="68">
        <f t="shared" si="3"/>
        <v>0</v>
      </c>
      <c r="N11" s="68" t="str">
        <f t="shared" si="4"/>
        <v/>
      </c>
      <c r="O11" s="68" t="str">
        <f t="shared" si="5"/>
        <v/>
      </c>
    </row>
    <row r="12">
      <c r="A12" s="20" t="s">
        <v>29</v>
      </c>
      <c r="B12" s="21">
        <v>1590.6</v>
      </c>
      <c r="C12" s="18">
        <v>1559.3</v>
      </c>
      <c r="D12" s="18">
        <v>2316.0</v>
      </c>
      <c r="E12" s="18">
        <v>3060.9</v>
      </c>
      <c r="F12" s="18">
        <v>2375.7</v>
      </c>
      <c r="G12" s="18">
        <v>2780.1</v>
      </c>
      <c r="J12" s="20" t="s">
        <v>29</v>
      </c>
      <c r="K12" s="67">
        <f t="shared" si="1"/>
        <v>2.265960029</v>
      </c>
      <c r="L12" s="68">
        <f t="shared" si="2"/>
        <v>3.155872293</v>
      </c>
      <c r="M12" s="68">
        <f t="shared" si="3"/>
        <v>2.918353045</v>
      </c>
      <c r="N12" s="68">
        <f t="shared" si="4"/>
        <v>1.246296966</v>
      </c>
      <c r="O12" s="68">
        <f t="shared" si="5"/>
        <v>1.540155905</v>
      </c>
    </row>
    <row r="13">
      <c r="A13" s="20" t="s">
        <v>30</v>
      </c>
      <c r="B13" s="21">
        <v>298.1</v>
      </c>
      <c r="C13" s="18">
        <v>-108.8</v>
      </c>
      <c r="D13" s="18">
        <v>161.8</v>
      </c>
      <c r="E13" s="18">
        <v>318.4</v>
      </c>
      <c r="F13" s="18" t="s">
        <v>26</v>
      </c>
      <c r="G13" s="18" t="s">
        <v>26</v>
      </c>
      <c r="J13" s="20" t="s">
        <v>30</v>
      </c>
      <c r="K13" s="67">
        <f t="shared" si="1"/>
        <v>-0.1581071321</v>
      </c>
      <c r="L13" s="68">
        <f t="shared" si="2"/>
        <v>0.220475016</v>
      </c>
      <c r="M13" s="68">
        <f t="shared" si="3"/>
        <v>0.3035720245</v>
      </c>
      <c r="N13" s="68" t="str">
        <f t="shared" si="4"/>
        <v/>
      </c>
      <c r="O13" s="68" t="str">
        <f t="shared" si="5"/>
        <v/>
      </c>
    </row>
    <row r="14">
      <c r="A14" s="20" t="s">
        <v>31</v>
      </c>
      <c r="B14" s="21">
        <v>56140.2</v>
      </c>
      <c r="C14" s="18">
        <v>64324.2</v>
      </c>
      <c r="D14" s="18">
        <v>67947.0</v>
      </c>
      <c r="E14" s="18">
        <v>97210.1</v>
      </c>
      <c r="F14" s="18">
        <v>177202.4</v>
      </c>
      <c r="G14" s="18">
        <v>168492.0</v>
      </c>
      <c r="J14" s="20" t="s">
        <v>31</v>
      </c>
      <c r="K14" s="67">
        <f t="shared" si="1"/>
        <v>93.47531974</v>
      </c>
      <c r="L14" s="68">
        <f t="shared" si="2"/>
        <v>92.58724297</v>
      </c>
      <c r="M14" s="68">
        <f t="shared" si="3"/>
        <v>92.68299892</v>
      </c>
      <c r="N14" s="68">
        <f t="shared" si="4"/>
        <v>92.96073302</v>
      </c>
      <c r="O14" s="68">
        <f t="shared" si="5"/>
        <v>93.34338646</v>
      </c>
    </row>
    <row r="15">
      <c r="A15" s="15" t="s">
        <v>32</v>
      </c>
      <c r="B15" s="16">
        <v>2180.7</v>
      </c>
      <c r="C15" s="17">
        <v>2925.8</v>
      </c>
      <c r="D15" s="17">
        <v>2773.2</v>
      </c>
      <c r="E15" s="17">
        <v>4274.4</v>
      </c>
      <c r="F15" s="17">
        <v>11042.6</v>
      </c>
      <c r="G15" s="17">
        <v>9187.8</v>
      </c>
      <c r="J15" s="15" t="s">
        <v>32</v>
      </c>
      <c r="K15" s="67">
        <f t="shared" si="1"/>
        <v>4.251744919</v>
      </c>
      <c r="L15" s="68">
        <f t="shared" si="2"/>
        <v>3.778870917</v>
      </c>
      <c r="M15" s="68">
        <f t="shared" si="3"/>
        <v>4.075340017</v>
      </c>
      <c r="N15" s="68">
        <f t="shared" si="4"/>
        <v>5.792970018</v>
      </c>
      <c r="O15" s="68">
        <f t="shared" si="5"/>
        <v>5.089976771</v>
      </c>
    </row>
    <row r="16">
      <c r="A16" s="20" t="s">
        <v>33</v>
      </c>
      <c r="B16" s="21">
        <v>60.3</v>
      </c>
      <c r="C16" s="18">
        <v>99.9</v>
      </c>
      <c r="D16" s="18">
        <v>-151.1</v>
      </c>
      <c r="E16" s="18">
        <v>2788.1</v>
      </c>
      <c r="F16" s="18">
        <v>-143.2</v>
      </c>
      <c r="G16" s="18">
        <v>-121.3</v>
      </c>
      <c r="J16" s="20" t="s">
        <v>33</v>
      </c>
      <c r="K16" s="67">
        <f t="shared" si="1"/>
        <v>0.1451737362</v>
      </c>
      <c r="L16" s="68">
        <f t="shared" si="2"/>
        <v>-0.205894777</v>
      </c>
      <c r="M16" s="68">
        <f t="shared" si="3"/>
        <v>2.658257416</v>
      </c>
      <c r="N16" s="68">
        <f t="shared" si="4"/>
        <v>-0.07512300605</v>
      </c>
      <c r="O16" s="68">
        <f t="shared" si="5"/>
        <v>-0.06719934939</v>
      </c>
    </row>
    <row r="17">
      <c r="A17" s="20" t="s">
        <v>34</v>
      </c>
      <c r="B17" s="21">
        <v>-20.2</v>
      </c>
      <c r="C17" s="18">
        <v>-41.9</v>
      </c>
      <c r="D17" s="18">
        <v>3.3</v>
      </c>
      <c r="E17" s="18">
        <v>877.0</v>
      </c>
      <c r="F17" s="18">
        <v>162.3</v>
      </c>
      <c r="G17" s="18">
        <v>-29.2</v>
      </c>
      <c r="J17" s="20" t="s">
        <v>34</v>
      </c>
      <c r="K17" s="67">
        <f t="shared" si="1"/>
        <v>-0.06088868415</v>
      </c>
      <c r="L17" s="68">
        <f t="shared" si="2"/>
        <v>0.004496709226</v>
      </c>
      <c r="M17" s="68">
        <f t="shared" si="3"/>
        <v>0.8361578689</v>
      </c>
      <c r="N17" s="68">
        <f t="shared" si="4"/>
        <v>0.08514290421</v>
      </c>
      <c r="O17" s="68">
        <f t="shared" si="5"/>
        <v>-0.01617659524</v>
      </c>
    </row>
    <row r="18">
      <c r="A18" s="22" t="s">
        <v>35</v>
      </c>
      <c r="B18" s="23">
        <v>6.0</v>
      </c>
      <c r="C18" s="24">
        <v>2.5</v>
      </c>
      <c r="D18" s="24">
        <v>3.3</v>
      </c>
      <c r="E18" s="24">
        <v>980.9</v>
      </c>
      <c r="F18" s="24">
        <v>327.8</v>
      </c>
      <c r="G18" s="24">
        <v>243.7</v>
      </c>
      <c r="J18" s="22" t="s">
        <v>35</v>
      </c>
      <c r="K18" s="67">
        <f t="shared" si="1"/>
        <v>0.003632976381</v>
      </c>
      <c r="L18" s="68">
        <f t="shared" si="2"/>
        <v>0.004496709226</v>
      </c>
      <c r="M18" s="68">
        <f t="shared" si="3"/>
        <v>0.9352192173</v>
      </c>
      <c r="N18" s="68">
        <f t="shared" si="4"/>
        <v>0.1719645348</v>
      </c>
      <c r="O18" s="68">
        <f t="shared" si="5"/>
        <v>0.1350080911</v>
      </c>
    </row>
    <row r="19">
      <c r="A19" s="22" t="s">
        <v>36</v>
      </c>
      <c r="B19" s="23">
        <v>26.2</v>
      </c>
      <c r="C19" s="24">
        <v>44.4</v>
      </c>
      <c r="D19" s="24">
        <v>0.0</v>
      </c>
      <c r="E19" s="24">
        <v>103.9</v>
      </c>
      <c r="F19" s="24">
        <v>165.5</v>
      </c>
      <c r="G19" s="24">
        <v>272.9</v>
      </c>
      <c r="J19" s="22" t="s">
        <v>36</v>
      </c>
      <c r="K19" s="67">
        <f t="shared" si="1"/>
        <v>0.06452166053</v>
      </c>
      <c r="L19" s="68">
        <f t="shared" si="2"/>
        <v>0</v>
      </c>
      <c r="M19" s="68">
        <f t="shared" si="3"/>
        <v>0.09906134844</v>
      </c>
      <c r="N19" s="68">
        <f t="shared" si="4"/>
        <v>0.0868216306</v>
      </c>
      <c r="O19" s="68">
        <f t="shared" si="5"/>
        <v>0.1511846863</v>
      </c>
    </row>
    <row r="20">
      <c r="A20" s="20" t="s">
        <v>37</v>
      </c>
      <c r="B20" s="21" t="s">
        <v>26</v>
      </c>
      <c r="C20" s="18" t="s">
        <v>26</v>
      </c>
      <c r="D20" s="18" t="s">
        <v>26</v>
      </c>
      <c r="E20" s="18">
        <v>-8.0</v>
      </c>
      <c r="F20" s="18">
        <v>-1.9</v>
      </c>
      <c r="G20" s="18">
        <v>-16.0</v>
      </c>
      <c r="J20" s="20" t="s">
        <v>37</v>
      </c>
      <c r="K20" s="67" t="str">
        <f t="shared" si="1"/>
        <v/>
      </c>
      <c r="L20" s="68" t="str">
        <f t="shared" si="2"/>
        <v/>
      </c>
      <c r="M20" s="68">
        <f t="shared" si="3"/>
        <v>-0.007627437801</v>
      </c>
      <c r="N20" s="68">
        <f t="shared" si="4"/>
        <v>-0.0009967437954</v>
      </c>
      <c r="O20" s="68">
        <f t="shared" si="5"/>
        <v>-0.008863887801</v>
      </c>
    </row>
    <row r="21" ht="15.75" customHeight="1">
      <c r="A21" s="20" t="s">
        <v>38</v>
      </c>
      <c r="B21" s="21">
        <v>-2.2</v>
      </c>
      <c r="C21" s="18">
        <v>-13.7</v>
      </c>
      <c r="D21" s="18">
        <v>0.0</v>
      </c>
      <c r="E21" s="18">
        <v>0.0</v>
      </c>
      <c r="F21" s="18">
        <v>0.0</v>
      </c>
      <c r="G21" s="18">
        <v>-47.7</v>
      </c>
      <c r="J21" s="20" t="s">
        <v>38</v>
      </c>
      <c r="K21" s="67">
        <f t="shared" si="1"/>
        <v>-0.01990871057</v>
      </c>
      <c r="L21" s="68">
        <f t="shared" si="2"/>
        <v>0</v>
      </c>
      <c r="M21" s="68">
        <f t="shared" si="3"/>
        <v>0</v>
      </c>
      <c r="N21" s="68">
        <f t="shared" si="4"/>
        <v>0</v>
      </c>
      <c r="O21" s="68">
        <f t="shared" si="5"/>
        <v>-0.02642546551</v>
      </c>
    </row>
    <row r="22" ht="15.75" customHeight="1">
      <c r="A22" s="20" t="s">
        <v>39</v>
      </c>
      <c r="B22" s="21">
        <v>-48.0</v>
      </c>
      <c r="C22" s="18">
        <v>-52.1</v>
      </c>
      <c r="D22" s="18">
        <v>-60.7</v>
      </c>
      <c r="E22" s="18">
        <v>-170.0</v>
      </c>
      <c r="F22" s="18">
        <v>-812.0</v>
      </c>
      <c r="G22" s="18">
        <v>-174.4</v>
      </c>
      <c r="J22" s="20" t="s">
        <v>39</v>
      </c>
      <c r="K22" s="67">
        <f t="shared" si="1"/>
        <v>-0.07571122779</v>
      </c>
      <c r="L22" s="68">
        <f t="shared" si="2"/>
        <v>-0.08271219698</v>
      </c>
      <c r="M22" s="68">
        <f t="shared" si="3"/>
        <v>-0.1620830533</v>
      </c>
      <c r="N22" s="68">
        <f t="shared" si="4"/>
        <v>-0.425976822</v>
      </c>
      <c r="O22" s="68">
        <f t="shared" si="5"/>
        <v>-0.09661637703</v>
      </c>
    </row>
    <row r="23" ht="15.75" customHeight="1">
      <c r="A23" s="20" t="s">
        <v>40</v>
      </c>
      <c r="B23" s="21">
        <v>130.7</v>
      </c>
      <c r="C23" s="18">
        <v>207.6</v>
      </c>
      <c r="D23" s="18">
        <v>-93.7</v>
      </c>
      <c r="E23" s="18">
        <v>2089.1</v>
      </c>
      <c r="F23" s="18">
        <v>508.4</v>
      </c>
      <c r="G23" s="18">
        <v>146.0</v>
      </c>
      <c r="J23" s="20" t="s">
        <v>40</v>
      </c>
      <c r="K23" s="67">
        <f t="shared" si="1"/>
        <v>0.3016823587</v>
      </c>
      <c r="L23" s="68">
        <f t="shared" si="2"/>
        <v>-0.1276792892</v>
      </c>
      <c r="M23" s="68">
        <f t="shared" si="3"/>
        <v>1.991810039</v>
      </c>
      <c r="N23" s="68">
        <f t="shared" si="4"/>
        <v>0.2667076556</v>
      </c>
      <c r="O23" s="68">
        <f t="shared" si="5"/>
        <v>0.08088297618</v>
      </c>
    </row>
    <row r="24" ht="15.75" customHeight="1">
      <c r="A24" s="15" t="s">
        <v>41</v>
      </c>
      <c r="B24" s="16">
        <v>2120.4</v>
      </c>
      <c r="C24" s="17">
        <v>2825.9</v>
      </c>
      <c r="D24" s="17">
        <v>2924.3</v>
      </c>
      <c r="E24" s="17">
        <v>1486.3</v>
      </c>
      <c r="F24" s="17">
        <v>11185.8</v>
      </c>
      <c r="G24" s="17">
        <v>9309.1</v>
      </c>
      <c r="J24" s="15" t="s">
        <v>41</v>
      </c>
      <c r="K24" s="67">
        <f t="shared" si="1"/>
        <v>4.106571182</v>
      </c>
      <c r="L24" s="68">
        <f t="shared" si="2"/>
        <v>3.984765694</v>
      </c>
      <c r="M24" s="68">
        <f t="shared" si="3"/>
        <v>1.4170826</v>
      </c>
      <c r="N24" s="68">
        <f t="shared" si="4"/>
        <v>5.868093025</v>
      </c>
      <c r="O24" s="68">
        <f t="shared" si="5"/>
        <v>5.15717612</v>
      </c>
    </row>
    <row r="25" ht="15.75" customHeight="1">
      <c r="A25" s="20" t="s">
        <v>42</v>
      </c>
      <c r="B25" s="21">
        <v>-131.8</v>
      </c>
      <c r="C25" s="18">
        <v>-194.9</v>
      </c>
      <c r="D25" s="18">
        <v>-130.1</v>
      </c>
      <c r="E25" s="18">
        <v>-104.5</v>
      </c>
      <c r="F25" s="18">
        <v>375.1</v>
      </c>
      <c r="G25" s="18">
        <v>355.7</v>
      </c>
      <c r="J25" s="20" t="s">
        <v>42</v>
      </c>
      <c r="K25" s="67">
        <f t="shared" si="1"/>
        <v>-0.2832268387</v>
      </c>
      <c r="L25" s="68">
        <f t="shared" si="2"/>
        <v>-0.1772793547</v>
      </c>
      <c r="M25" s="68">
        <f t="shared" si="3"/>
        <v>-0.09963340627</v>
      </c>
      <c r="N25" s="68">
        <f t="shared" si="4"/>
        <v>0.1967782093</v>
      </c>
      <c r="O25" s="68">
        <f t="shared" si="5"/>
        <v>0.1970553057</v>
      </c>
    </row>
    <row r="26" ht="15.75" customHeight="1">
      <c r="A26" s="20" t="s">
        <v>43</v>
      </c>
      <c r="B26" s="21">
        <v>-149.3</v>
      </c>
      <c r="C26" s="18">
        <v>-127.1</v>
      </c>
      <c r="D26" s="18">
        <v>31.6</v>
      </c>
      <c r="E26" s="18">
        <v>-90.6</v>
      </c>
      <c r="F26" s="18">
        <v>14.4</v>
      </c>
      <c r="G26" s="18">
        <v>3.2</v>
      </c>
      <c r="J26" s="20" t="s">
        <v>43</v>
      </c>
      <c r="K26" s="67">
        <f t="shared" si="1"/>
        <v>-0.1847005192</v>
      </c>
      <c r="L26" s="68">
        <f t="shared" si="2"/>
        <v>0.04305939744</v>
      </c>
      <c r="M26" s="68">
        <f t="shared" si="3"/>
        <v>-0.08638073309</v>
      </c>
      <c r="N26" s="68">
        <f t="shared" si="4"/>
        <v>0.007554268765</v>
      </c>
      <c r="O26" s="68">
        <f t="shared" si="5"/>
        <v>0.00177277756</v>
      </c>
    </row>
    <row r="27" ht="15.75" customHeight="1">
      <c r="A27" s="20" t="s">
        <v>44</v>
      </c>
      <c r="B27" s="21" t="s">
        <v>26</v>
      </c>
      <c r="C27" s="18" t="s">
        <v>26</v>
      </c>
      <c r="D27" s="18" t="s">
        <v>26</v>
      </c>
      <c r="E27" s="18" t="s">
        <v>26</v>
      </c>
      <c r="F27" s="18">
        <v>555.8</v>
      </c>
      <c r="G27" s="18">
        <v>702.8</v>
      </c>
      <c r="J27" s="20" t="s">
        <v>44</v>
      </c>
      <c r="K27" s="67" t="str">
        <f t="shared" si="1"/>
        <v/>
      </c>
      <c r="L27" s="68" t="str">
        <f t="shared" si="2"/>
        <v/>
      </c>
      <c r="M27" s="68" t="str">
        <f t="shared" si="3"/>
        <v/>
      </c>
      <c r="N27" s="68">
        <f t="shared" si="4"/>
        <v>0.2915737903</v>
      </c>
      <c r="O27" s="68">
        <f t="shared" si="5"/>
        <v>0.3893462717</v>
      </c>
    </row>
    <row r="28" ht="15.75" customHeight="1">
      <c r="A28" s="20" t="s">
        <v>45</v>
      </c>
      <c r="B28" s="21">
        <v>68.6</v>
      </c>
      <c r="C28" s="18" t="s">
        <v>26</v>
      </c>
      <c r="D28" s="18" t="s">
        <v>26</v>
      </c>
      <c r="E28" s="18" t="s">
        <v>26</v>
      </c>
      <c r="F28" s="18" t="s">
        <v>26</v>
      </c>
      <c r="G28" s="18" t="s">
        <v>26</v>
      </c>
      <c r="J28" s="20" t="s">
        <v>45</v>
      </c>
      <c r="K28" s="67" t="str">
        <f t="shared" si="1"/>
        <v/>
      </c>
      <c r="L28" s="68" t="str">
        <f t="shared" si="2"/>
        <v/>
      </c>
      <c r="M28" s="68" t="str">
        <f t="shared" si="3"/>
        <v/>
      </c>
      <c r="N28" s="68" t="str">
        <f t="shared" si="4"/>
        <v/>
      </c>
      <c r="O28" s="68" t="str">
        <f t="shared" si="5"/>
        <v/>
      </c>
    </row>
    <row r="29" ht="15.75" customHeight="1">
      <c r="A29" s="20" t="s">
        <v>46</v>
      </c>
      <c r="B29" s="21" t="s">
        <v>26</v>
      </c>
      <c r="C29" s="18" t="s">
        <v>26</v>
      </c>
      <c r="D29" s="18">
        <v>-125.8</v>
      </c>
      <c r="E29" s="18" t="s">
        <v>26</v>
      </c>
      <c r="F29" s="18">
        <v>-185.1</v>
      </c>
      <c r="G29" s="18">
        <v>-278.7</v>
      </c>
      <c r="J29" s="20" t="s">
        <v>46</v>
      </c>
      <c r="K29" s="67" t="str">
        <f t="shared" si="1"/>
        <v/>
      </c>
      <c r="L29" s="68">
        <f t="shared" si="2"/>
        <v>-0.1714200063</v>
      </c>
      <c r="M29" s="68" t="str">
        <f t="shared" si="3"/>
        <v/>
      </c>
      <c r="N29" s="68">
        <f t="shared" si="4"/>
        <v>-0.09710382975</v>
      </c>
      <c r="O29" s="68">
        <f t="shared" si="5"/>
        <v>-0.1543978456</v>
      </c>
    </row>
    <row r="30" ht="15.75" customHeight="1">
      <c r="A30" s="20" t="s">
        <v>47</v>
      </c>
      <c r="B30" s="21">
        <v>-51.1</v>
      </c>
      <c r="C30" s="18">
        <v>-67.8</v>
      </c>
      <c r="D30" s="18">
        <v>-35.9</v>
      </c>
      <c r="E30" s="18">
        <v>-13.9</v>
      </c>
      <c r="F30" s="18">
        <v>-6.7</v>
      </c>
      <c r="G30" s="18">
        <v>-50.2</v>
      </c>
      <c r="J30" s="20" t="s">
        <v>47</v>
      </c>
      <c r="K30" s="67">
        <f t="shared" si="1"/>
        <v>-0.09852631946</v>
      </c>
      <c r="L30" s="68">
        <f t="shared" si="2"/>
        <v>-0.04891874583</v>
      </c>
      <c r="M30" s="68">
        <f t="shared" si="3"/>
        <v>-0.01325267318</v>
      </c>
      <c r="N30" s="68">
        <f t="shared" si="4"/>
        <v>-0.003514833384</v>
      </c>
      <c r="O30" s="68">
        <f t="shared" si="5"/>
        <v>-0.02781044798</v>
      </c>
    </row>
    <row r="31" ht="15.75" customHeight="1">
      <c r="A31" s="20" t="s">
        <v>48</v>
      </c>
      <c r="B31" s="21" t="s">
        <v>26</v>
      </c>
      <c r="C31" s="18" t="s">
        <v>26</v>
      </c>
      <c r="D31" s="18" t="s">
        <v>26</v>
      </c>
      <c r="E31" s="18" t="s">
        <v>26</v>
      </c>
      <c r="F31" s="18">
        <v>-3.3</v>
      </c>
      <c r="G31" s="18">
        <v>-21.4</v>
      </c>
      <c r="J31" s="20" t="s">
        <v>48</v>
      </c>
      <c r="K31" s="67" t="str">
        <f t="shared" si="1"/>
        <v/>
      </c>
      <c r="L31" s="68" t="str">
        <f t="shared" si="2"/>
        <v/>
      </c>
      <c r="M31" s="68" t="str">
        <f t="shared" si="3"/>
        <v/>
      </c>
      <c r="N31" s="68">
        <f t="shared" si="4"/>
        <v>-0.001731186592</v>
      </c>
      <c r="O31" s="68">
        <f t="shared" si="5"/>
        <v>-0.01185544993</v>
      </c>
    </row>
    <row r="32" ht="15.75" customHeight="1">
      <c r="A32" s="20" t="s">
        <v>49</v>
      </c>
      <c r="B32" s="21" t="s">
        <v>26</v>
      </c>
      <c r="C32" s="18" t="s">
        <v>26</v>
      </c>
      <c r="D32" s="18" t="s">
        <v>26</v>
      </c>
      <c r="E32" s="18" t="s">
        <v>26</v>
      </c>
      <c r="F32" s="18" t="s">
        <v>26</v>
      </c>
      <c r="G32" s="18" t="s">
        <v>26</v>
      </c>
      <c r="J32" s="20" t="s">
        <v>49</v>
      </c>
      <c r="K32" s="67" t="str">
        <f t="shared" si="1"/>
        <v/>
      </c>
      <c r="L32" s="68" t="str">
        <f t="shared" si="2"/>
        <v/>
      </c>
      <c r="M32" s="68" t="str">
        <f t="shared" si="3"/>
        <v/>
      </c>
      <c r="N32" s="68" t="str">
        <f t="shared" si="4"/>
        <v/>
      </c>
      <c r="O32" s="68" t="str">
        <f t="shared" si="5"/>
        <v/>
      </c>
    </row>
    <row r="33" ht="15.75" customHeight="1">
      <c r="A33" s="15" t="s">
        <v>50</v>
      </c>
      <c r="B33" s="16">
        <v>2252.2</v>
      </c>
      <c r="C33" s="17">
        <v>3020.8</v>
      </c>
      <c r="D33" s="17">
        <v>3054.4</v>
      </c>
      <c r="E33" s="17">
        <v>1590.8</v>
      </c>
      <c r="F33" s="17">
        <v>10810.7</v>
      </c>
      <c r="G33" s="17">
        <v>8953.4</v>
      </c>
      <c r="J33" s="15" t="s">
        <v>50</v>
      </c>
      <c r="K33" s="67">
        <f t="shared" si="1"/>
        <v>4.389798021</v>
      </c>
      <c r="L33" s="68">
        <f t="shared" si="2"/>
        <v>4.162045049</v>
      </c>
      <c r="M33" s="68">
        <f t="shared" si="3"/>
        <v>1.516716007</v>
      </c>
      <c r="N33" s="68">
        <f t="shared" si="4"/>
        <v>5.671314815</v>
      </c>
      <c r="O33" s="68">
        <f t="shared" si="5"/>
        <v>4.960120815</v>
      </c>
    </row>
    <row r="34" ht="15.75" customHeight="1">
      <c r="A34" s="20" t="s">
        <v>51</v>
      </c>
      <c r="B34" s="21">
        <v>512.6</v>
      </c>
      <c r="C34" s="18">
        <v>542.4</v>
      </c>
      <c r="D34" s="18">
        <v>711.0</v>
      </c>
      <c r="E34" s="18">
        <v>639.7</v>
      </c>
      <c r="F34" s="18">
        <v>2570.2</v>
      </c>
      <c r="G34" s="18">
        <v>2421.3</v>
      </c>
      <c r="J34" s="20" t="s">
        <v>51</v>
      </c>
      <c r="K34" s="67">
        <f t="shared" si="1"/>
        <v>0.7882105557</v>
      </c>
      <c r="L34" s="68">
        <f t="shared" si="2"/>
        <v>0.9688364424</v>
      </c>
      <c r="M34" s="68">
        <f t="shared" si="3"/>
        <v>0.6099089951</v>
      </c>
      <c r="N34" s="68">
        <f t="shared" si="4"/>
        <v>1.348332054</v>
      </c>
      <c r="O34" s="68">
        <f t="shared" si="5"/>
        <v>1.341383221</v>
      </c>
    </row>
    <row r="35" ht="15.75" customHeight="1">
      <c r="A35" s="20" t="s">
        <v>52</v>
      </c>
      <c r="B35" s="21">
        <v>602.8</v>
      </c>
      <c r="C35" s="18">
        <v>925.3</v>
      </c>
      <c r="D35" s="18">
        <v>1345.0</v>
      </c>
      <c r="E35" s="18">
        <v>1267.7</v>
      </c>
      <c r="F35" s="18">
        <v>2803.3</v>
      </c>
      <c r="G35" s="18">
        <v>2508.2</v>
      </c>
      <c r="J35" s="20" t="s">
        <v>52</v>
      </c>
      <c r="K35" s="67">
        <f t="shared" si="1"/>
        <v>1.344637218</v>
      </c>
      <c r="L35" s="68">
        <f t="shared" si="2"/>
        <v>1.83274967</v>
      </c>
      <c r="M35" s="68">
        <f t="shared" si="3"/>
        <v>1.208662862</v>
      </c>
      <c r="N35" s="68">
        <f t="shared" si="4"/>
        <v>1.47061678</v>
      </c>
      <c r="O35" s="68">
        <f t="shared" si="5"/>
        <v>1.389525211</v>
      </c>
    </row>
    <row r="36" ht="15.75" customHeight="1">
      <c r="A36" s="20" t="s">
        <v>53</v>
      </c>
      <c r="B36" s="21">
        <v>-90.2</v>
      </c>
      <c r="C36" s="18">
        <v>-382.9</v>
      </c>
      <c r="D36" s="18">
        <v>-634.0</v>
      </c>
      <c r="E36" s="18">
        <v>-628.0</v>
      </c>
      <c r="F36" s="18">
        <v>-233.1</v>
      </c>
      <c r="G36" s="18">
        <v>-86.9</v>
      </c>
      <c r="J36" s="20" t="s">
        <v>53</v>
      </c>
      <c r="K36" s="67">
        <f t="shared" si="1"/>
        <v>-0.5564266626</v>
      </c>
      <c r="L36" s="68">
        <f t="shared" si="2"/>
        <v>-0.8639132271</v>
      </c>
      <c r="M36" s="68">
        <f t="shared" si="3"/>
        <v>-0.5987538673</v>
      </c>
      <c r="N36" s="68">
        <f t="shared" si="4"/>
        <v>-0.1222847256</v>
      </c>
      <c r="O36" s="68">
        <f t="shared" si="5"/>
        <v>-0.04814199062</v>
      </c>
    </row>
    <row r="37" ht="15.75" customHeight="1">
      <c r="A37" s="20" t="s">
        <v>54</v>
      </c>
      <c r="B37" s="21" t="s">
        <v>26</v>
      </c>
      <c r="C37" s="18" t="s">
        <v>26</v>
      </c>
      <c r="D37" s="18" t="s">
        <v>26</v>
      </c>
      <c r="E37" s="18" t="s">
        <v>26</v>
      </c>
      <c r="F37" s="18" t="s">
        <v>26</v>
      </c>
      <c r="G37" s="18" t="s">
        <v>26</v>
      </c>
      <c r="J37" s="20" t="s">
        <v>54</v>
      </c>
      <c r="K37" s="67" t="str">
        <f t="shared" si="1"/>
        <v/>
      </c>
      <c r="L37" s="68" t="str">
        <f t="shared" si="2"/>
        <v/>
      </c>
      <c r="M37" s="68" t="str">
        <f t="shared" si="3"/>
        <v/>
      </c>
      <c r="N37" s="68" t="str">
        <f t="shared" si="4"/>
        <v/>
      </c>
      <c r="O37" s="68" t="str">
        <f t="shared" si="5"/>
        <v/>
      </c>
    </row>
    <row r="38" ht="15.75" customHeight="1">
      <c r="A38" s="20" t="s">
        <v>55</v>
      </c>
      <c r="B38" s="21" t="s">
        <v>26</v>
      </c>
      <c r="C38" s="18" t="s">
        <v>26</v>
      </c>
      <c r="D38" s="18" t="s">
        <v>26</v>
      </c>
      <c r="E38" s="18" t="s">
        <v>26</v>
      </c>
      <c r="F38" s="18" t="s">
        <v>26</v>
      </c>
      <c r="G38" s="18" t="s">
        <v>26</v>
      </c>
      <c r="J38" s="20" t="s">
        <v>55</v>
      </c>
      <c r="K38" s="67" t="str">
        <f t="shared" si="1"/>
        <v/>
      </c>
      <c r="L38" s="68" t="str">
        <f t="shared" si="2"/>
        <v/>
      </c>
      <c r="M38" s="68" t="str">
        <f t="shared" si="3"/>
        <v/>
      </c>
      <c r="N38" s="68" t="str">
        <f t="shared" si="4"/>
        <v/>
      </c>
      <c r="O38" s="68" t="str">
        <f t="shared" si="5"/>
        <v/>
      </c>
    </row>
    <row r="39" ht="15.75" customHeight="1">
      <c r="A39" s="15" t="s">
        <v>56</v>
      </c>
      <c r="B39" s="16">
        <v>1739.6</v>
      </c>
      <c r="C39" s="17">
        <v>2478.4</v>
      </c>
      <c r="D39" s="17">
        <v>2343.4</v>
      </c>
      <c r="E39" s="17">
        <v>951.1</v>
      </c>
      <c r="F39" s="17">
        <v>8240.5</v>
      </c>
      <c r="G39" s="17">
        <v>6532.1</v>
      </c>
      <c r="J39" s="15" t="s">
        <v>56</v>
      </c>
      <c r="K39" s="67">
        <f t="shared" si="1"/>
        <v>3.601587465</v>
      </c>
      <c r="L39" s="68">
        <f t="shared" si="2"/>
        <v>3.193208606</v>
      </c>
      <c r="M39" s="68">
        <f t="shared" si="3"/>
        <v>0.9068070115</v>
      </c>
      <c r="N39" s="68">
        <f t="shared" si="4"/>
        <v>4.322982761</v>
      </c>
      <c r="O39" s="68">
        <f t="shared" si="5"/>
        <v>3.618737594</v>
      </c>
    </row>
    <row r="40" ht="15.75" customHeight="1">
      <c r="A40" s="20" t="s">
        <v>57</v>
      </c>
      <c r="B40" s="21">
        <v>0.0</v>
      </c>
      <c r="C40" s="18">
        <v>0.0</v>
      </c>
      <c r="D40" s="18">
        <v>0.0</v>
      </c>
      <c r="E40" s="18">
        <v>0.0</v>
      </c>
      <c r="F40" s="18">
        <v>-1405.4</v>
      </c>
      <c r="G40" s="18">
        <v>0.0</v>
      </c>
      <c r="J40" s="20" t="s">
        <v>57</v>
      </c>
      <c r="K40" s="67">
        <f t="shared" si="1"/>
        <v>0</v>
      </c>
      <c r="L40" s="68">
        <f t="shared" si="2"/>
        <v>0</v>
      </c>
      <c r="M40" s="68">
        <f t="shared" si="3"/>
        <v>0</v>
      </c>
      <c r="N40" s="68">
        <f t="shared" si="4"/>
        <v>-0.7372756474</v>
      </c>
      <c r="O40" s="68">
        <f t="shared" si="5"/>
        <v>0</v>
      </c>
    </row>
    <row r="41" ht="15.75" customHeight="1">
      <c r="A41" s="20" t="s">
        <v>58</v>
      </c>
      <c r="B41" s="21">
        <v>0.0</v>
      </c>
      <c r="C41" s="18">
        <v>0.0</v>
      </c>
      <c r="D41" s="18">
        <v>0.0</v>
      </c>
      <c r="E41" s="18">
        <v>0.0</v>
      </c>
      <c r="F41" s="18">
        <v>-1405.4</v>
      </c>
      <c r="G41" s="18">
        <v>0.0</v>
      </c>
      <c r="J41" s="20" t="s">
        <v>58</v>
      </c>
      <c r="K41" s="67">
        <f t="shared" si="1"/>
        <v>0</v>
      </c>
      <c r="L41" s="68">
        <f t="shared" si="2"/>
        <v>0</v>
      </c>
      <c r="M41" s="68">
        <f t="shared" si="3"/>
        <v>0</v>
      </c>
      <c r="N41" s="68">
        <f t="shared" si="4"/>
        <v>-0.7372756474</v>
      </c>
      <c r="O41" s="68">
        <f t="shared" si="5"/>
        <v>0</v>
      </c>
    </row>
    <row r="42" ht="15.75" customHeight="1">
      <c r="A42" s="20" t="s">
        <v>59</v>
      </c>
      <c r="B42" s="21">
        <v>0.0</v>
      </c>
      <c r="C42" s="18">
        <v>0.0</v>
      </c>
      <c r="D42" s="18">
        <v>0.0</v>
      </c>
      <c r="E42" s="18">
        <v>0.0</v>
      </c>
      <c r="F42" s="18">
        <v>0.0</v>
      </c>
      <c r="G42" s="18">
        <v>0.0</v>
      </c>
      <c r="J42" s="20" t="s">
        <v>59</v>
      </c>
      <c r="K42" s="67">
        <f t="shared" si="1"/>
        <v>0</v>
      </c>
      <c r="L42" s="68">
        <f t="shared" si="2"/>
        <v>0</v>
      </c>
      <c r="M42" s="68">
        <f t="shared" si="3"/>
        <v>0</v>
      </c>
      <c r="N42" s="68">
        <f t="shared" si="4"/>
        <v>0</v>
      </c>
      <c r="O42" s="68">
        <f t="shared" si="5"/>
        <v>0</v>
      </c>
    </row>
    <row r="43" ht="15.75" customHeight="1">
      <c r="A43" s="15" t="s">
        <v>60</v>
      </c>
      <c r="B43" s="16">
        <v>1739.6</v>
      </c>
      <c r="C43" s="17">
        <v>2478.4</v>
      </c>
      <c r="D43" s="17">
        <v>2343.4</v>
      </c>
      <c r="E43" s="17">
        <v>951.1</v>
      </c>
      <c r="F43" s="17">
        <v>9645.9</v>
      </c>
      <c r="G43" s="17">
        <v>6532.1</v>
      </c>
      <c r="J43" s="15" t="s">
        <v>60</v>
      </c>
      <c r="K43" s="67">
        <f t="shared" si="1"/>
        <v>3.601587465</v>
      </c>
      <c r="L43" s="68">
        <f t="shared" si="2"/>
        <v>3.193208606</v>
      </c>
      <c r="M43" s="68">
        <f t="shared" si="3"/>
        <v>0.9068070115</v>
      </c>
      <c r="N43" s="68">
        <f t="shared" si="4"/>
        <v>5.060258408</v>
      </c>
      <c r="O43" s="68">
        <f t="shared" si="5"/>
        <v>3.618737594</v>
      </c>
    </row>
    <row r="44" ht="15.75" customHeight="1">
      <c r="A44" s="20" t="s">
        <v>61</v>
      </c>
      <c r="B44" s="21">
        <v>26.1</v>
      </c>
      <c r="C44" s="18">
        <v>58.8</v>
      </c>
      <c r="D44" s="18">
        <v>113.4</v>
      </c>
      <c r="E44" s="18">
        <v>-777.9</v>
      </c>
      <c r="F44" s="18">
        <v>388.7</v>
      </c>
      <c r="G44" s="18">
        <v>236.2</v>
      </c>
      <c r="J44" s="20" t="s">
        <v>61</v>
      </c>
      <c r="K44" s="67">
        <f t="shared" si="1"/>
        <v>0.08544760449</v>
      </c>
      <c r="L44" s="68">
        <f t="shared" si="2"/>
        <v>0.1545232807</v>
      </c>
      <c r="M44" s="68">
        <f t="shared" si="3"/>
        <v>-0.7416729831</v>
      </c>
      <c r="N44" s="68">
        <f t="shared" si="4"/>
        <v>0.2039127965</v>
      </c>
      <c r="O44" s="68">
        <f t="shared" si="5"/>
        <v>0.1308531437</v>
      </c>
    </row>
    <row r="45" ht="15.75" customHeight="1">
      <c r="A45" s="15" t="s">
        <v>62</v>
      </c>
      <c r="B45" s="16">
        <v>1713.5</v>
      </c>
      <c r="C45" s="17">
        <v>2419.6</v>
      </c>
      <c r="D45" s="17">
        <v>2230.0</v>
      </c>
      <c r="E45" s="17">
        <v>1729.0</v>
      </c>
      <c r="F45" s="17">
        <v>9257.2</v>
      </c>
      <c r="G45" s="17">
        <v>6295.9</v>
      </c>
      <c r="J45" s="15" t="s">
        <v>62</v>
      </c>
      <c r="K45" s="67">
        <f t="shared" si="1"/>
        <v>3.516139861</v>
      </c>
      <c r="L45" s="68">
        <f t="shared" si="2"/>
        <v>3.038685326</v>
      </c>
      <c r="M45" s="68">
        <f t="shared" si="3"/>
        <v>1.648479995</v>
      </c>
      <c r="N45" s="68">
        <f t="shared" si="4"/>
        <v>4.856345612</v>
      </c>
      <c r="O45" s="68">
        <f t="shared" si="5"/>
        <v>3.48788445</v>
      </c>
    </row>
    <row r="46" ht="15.75" customHeight="1">
      <c r="A46" s="20" t="s">
        <v>63</v>
      </c>
      <c r="B46" s="21">
        <v>0.0</v>
      </c>
      <c r="C46" s="18">
        <v>0.0</v>
      </c>
      <c r="D46" s="18">
        <v>0.0</v>
      </c>
      <c r="E46" s="18">
        <v>0.0</v>
      </c>
      <c r="F46" s="18">
        <v>0.0</v>
      </c>
      <c r="G46" s="18">
        <v>0.0</v>
      </c>
      <c r="J46" s="20" t="s">
        <v>63</v>
      </c>
      <c r="K46" s="67">
        <f t="shared" si="1"/>
        <v>0</v>
      </c>
      <c r="L46" s="68">
        <f t="shared" si="2"/>
        <v>0</v>
      </c>
      <c r="M46" s="68">
        <f t="shared" si="3"/>
        <v>0</v>
      </c>
      <c r="N46" s="68">
        <f t="shared" si="4"/>
        <v>0</v>
      </c>
      <c r="O46" s="68">
        <f t="shared" si="5"/>
        <v>0</v>
      </c>
    </row>
    <row r="47" ht="15.75" customHeight="1">
      <c r="A47" s="20" t="s">
        <v>64</v>
      </c>
      <c r="B47" s="21">
        <v>0.0</v>
      </c>
      <c r="C47" s="18">
        <v>0.0</v>
      </c>
      <c r="D47" s="18">
        <v>0.0</v>
      </c>
      <c r="E47" s="18">
        <v>0.0</v>
      </c>
      <c r="F47" s="18">
        <v>0.0</v>
      </c>
      <c r="G47" s="18">
        <v>0.0</v>
      </c>
      <c r="J47" s="20" t="s">
        <v>64</v>
      </c>
      <c r="K47" s="67">
        <f t="shared" si="1"/>
        <v>0</v>
      </c>
      <c r="L47" s="68">
        <f t="shared" si="2"/>
        <v>0</v>
      </c>
      <c r="M47" s="68">
        <f t="shared" si="3"/>
        <v>0</v>
      </c>
      <c r="N47" s="68">
        <f t="shared" si="4"/>
        <v>0</v>
      </c>
      <c r="O47" s="68">
        <f t="shared" si="5"/>
        <v>0</v>
      </c>
    </row>
    <row r="48" ht="15.75" customHeight="1">
      <c r="A48" s="15" t="s">
        <v>65</v>
      </c>
      <c r="B48" s="16">
        <v>1713.5</v>
      </c>
      <c r="C48" s="17">
        <v>2419.6</v>
      </c>
      <c r="D48" s="17">
        <v>2230.0</v>
      </c>
      <c r="E48" s="17">
        <v>1729.0</v>
      </c>
      <c r="F48" s="17">
        <v>9257.2</v>
      </c>
      <c r="G48" s="17">
        <v>6295.9</v>
      </c>
      <c r="J48" s="15" t="s">
        <v>65</v>
      </c>
      <c r="K48" s="67">
        <f t="shared" si="1"/>
        <v>3.516139861</v>
      </c>
      <c r="L48" s="68">
        <f t="shared" si="2"/>
        <v>3.038685326</v>
      </c>
      <c r="M48" s="68">
        <f t="shared" si="3"/>
        <v>1.648479995</v>
      </c>
      <c r="N48" s="68">
        <f t="shared" si="4"/>
        <v>4.856345612</v>
      </c>
      <c r="O48" s="68">
        <f t="shared" si="5"/>
        <v>3.48788445</v>
      </c>
    </row>
    <row r="49" ht="15.75" customHeight="1">
      <c r="A49" s="15"/>
      <c r="B49" s="25"/>
      <c r="C49" s="26"/>
      <c r="D49" s="26"/>
      <c r="E49" s="26"/>
      <c r="F49" s="26"/>
      <c r="G49" s="26"/>
      <c r="J49" s="15"/>
      <c r="K49" s="67">
        <f t="shared" si="1"/>
        <v>0</v>
      </c>
      <c r="L49" s="68">
        <f t="shared" si="2"/>
        <v>0</v>
      </c>
      <c r="M49" s="68">
        <f t="shared" si="3"/>
        <v>0</v>
      </c>
      <c r="N49" s="68">
        <f t="shared" si="4"/>
        <v>0</v>
      </c>
      <c r="O49" s="68">
        <f t="shared" si="5"/>
        <v>0</v>
      </c>
    </row>
    <row r="50" ht="15.75" customHeight="1">
      <c r="A50" s="15" t="s">
        <v>66</v>
      </c>
      <c r="B50" s="16">
        <v>1641.82</v>
      </c>
      <c r="C50" s="17">
        <v>2283.17</v>
      </c>
      <c r="D50" s="17">
        <v>2138.93</v>
      </c>
      <c r="E50" s="17">
        <v>1655.85</v>
      </c>
      <c r="F50" s="17">
        <v>8114.37</v>
      </c>
      <c r="G50" s="17">
        <v>6544.89</v>
      </c>
      <c r="J50" s="15" t="s">
        <v>66</v>
      </c>
      <c r="K50" s="67">
        <f t="shared" si="1"/>
        <v>3.317881074</v>
      </c>
      <c r="L50" s="68">
        <f t="shared" si="2"/>
        <v>2.914589777</v>
      </c>
      <c r="M50" s="68">
        <f t="shared" si="3"/>
        <v>1.57873661</v>
      </c>
      <c r="N50" s="68">
        <f t="shared" si="4"/>
        <v>4.256814711</v>
      </c>
      <c r="O50" s="68">
        <f t="shared" si="5"/>
        <v>3.625823164</v>
      </c>
    </row>
    <row r="51" ht="15.75" customHeight="1">
      <c r="A51" s="20" t="s">
        <v>67</v>
      </c>
      <c r="B51" s="21">
        <v>-71.68</v>
      </c>
      <c r="C51" s="18">
        <v>-136.43</v>
      </c>
      <c r="D51" s="18">
        <v>-91.07</v>
      </c>
      <c r="E51" s="18">
        <v>-73.15</v>
      </c>
      <c r="F51" s="18">
        <v>262.57</v>
      </c>
      <c r="G51" s="18">
        <v>248.99</v>
      </c>
      <c r="J51" s="20" t="s">
        <v>67</v>
      </c>
      <c r="K51" s="67">
        <f t="shared" si="1"/>
        <v>-0.1982587871</v>
      </c>
      <c r="L51" s="68">
        <f t="shared" si="2"/>
        <v>-0.1240955483</v>
      </c>
      <c r="M51" s="68">
        <f t="shared" si="3"/>
        <v>-0.06974338439</v>
      </c>
      <c r="N51" s="68">
        <f t="shared" si="4"/>
        <v>0.1377447465</v>
      </c>
      <c r="O51" s="68">
        <f t="shared" si="5"/>
        <v>0.137938714</v>
      </c>
    </row>
    <row r="52" ht="15.75" customHeight="1">
      <c r="A52" s="20" t="s">
        <v>68</v>
      </c>
      <c r="B52" s="21">
        <v>0.0</v>
      </c>
      <c r="C52" s="18">
        <v>0.0</v>
      </c>
      <c r="D52" s="18">
        <v>0.0</v>
      </c>
      <c r="E52" s="18">
        <v>0.0</v>
      </c>
      <c r="F52" s="18">
        <v>-1405.4</v>
      </c>
      <c r="G52" s="18">
        <v>0.0</v>
      </c>
      <c r="J52" s="20" t="s">
        <v>68</v>
      </c>
      <c r="K52" s="67">
        <f t="shared" si="1"/>
        <v>0</v>
      </c>
      <c r="L52" s="68">
        <f t="shared" si="2"/>
        <v>0</v>
      </c>
      <c r="M52" s="68">
        <f t="shared" si="3"/>
        <v>0</v>
      </c>
      <c r="N52" s="68">
        <f t="shared" si="4"/>
        <v>-0.7372756474</v>
      </c>
      <c r="O52" s="68">
        <f t="shared" si="5"/>
        <v>0</v>
      </c>
    </row>
    <row r="53" ht="15.75" customHeight="1">
      <c r="A53" s="15"/>
      <c r="B53" s="25"/>
      <c r="C53" s="26"/>
      <c r="D53" s="26"/>
      <c r="E53" s="26"/>
      <c r="F53" s="26"/>
      <c r="G53" s="26"/>
      <c r="J53" s="15"/>
      <c r="K53" s="67">
        <f t="shared" si="1"/>
        <v>0</v>
      </c>
      <c r="L53" s="68">
        <f t="shared" si="2"/>
        <v>0</v>
      </c>
      <c r="M53" s="68">
        <f t="shared" si="3"/>
        <v>0</v>
      </c>
      <c r="N53" s="68">
        <f t="shared" si="4"/>
        <v>0</v>
      </c>
      <c r="O53" s="68">
        <f t="shared" si="5"/>
        <v>0</v>
      </c>
    </row>
    <row r="54" ht="15.75" customHeight="1">
      <c r="A54" s="20" t="s">
        <v>69</v>
      </c>
      <c r="B54" s="21">
        <v>245.6955</v>
      </c>
      <c r="C54" s="18">
        <v>245.6955</v>
      </c>
      <c r="D54" s="18">
        <v>245.7</v>
      </c>
      <c r="E54" s="18">
        <v>245.6955</v>
      </c>
      <c r="F54" s="18">
        <v>245.6955</v>
      </c>
      <c r="G54" s="18">
        <v>245.6955</v>
      </c>
      <c r="J54" s="20" t="s">
        <v>69</v>
      </c>
      <c r="K54" s="67">
        <f t="shared" si="1"/>
        <v>0.3570423794</v>
      </c>
      <c r="L54" s="68">
        <f t="shared" si="2"/>
        <v>0.3348004415</v>
      </c>
      <c r="M54" s="68">
        <f t="shared" si="3"/>
        <v>0.234253393</v>
      </c>
      <c r="N54" s="68">
        <f t="shared" si="4"/>
        <v>0.1288923501</v>
      </c>
      <c r="O54" s="68">
        <f t="shared" si="5"/>
        <v>0.1361135841</v>
      </c>
    </row>
    <row r="55" ht="15.75" customHeight="1">
      <c r="A55" s="15" t="s">
        <v>70</v>
      </c>
      <c r="B55" s="27">
        <v>6.97</v>
      </c>
      <c r="C55" s="28">
        <v>9.85</v>
      </c>
      <c r="D55" s="28">
        <v>9.0761</v>
      </c>
      <c r="E55" s="28">
        <v>7.04</v>
      </c>
      <c r="F55" s="28">
        <v>37.68</v>
      </c>
      <c r="G55" s="28">
        <v>25.62</v>
      </c>
      <c r="J55" s="15" t="s">
        <v>70</v>
      </c>
      <c r="K55" s="67">
        <f t="shared" si="1"/>
        <v>0.01431392694</v>
      </c>
      <c r="L55" s="68">
        <f t="shared" si="2"/>
        <v>0.01236744928</v>
      </c>
      <c r="M55" s="68">
        <f t="shared" si="3"/>
        <v>0.006712145265</v>
      </c>
      <c r="N55" s="68">
        <f t="shared" si="4"/>
        <v>0.01976700327</v>
      </c>
      <c r="O55" s="68">
        <f t="shared" si="5"/>
        <v>0.01419330034</v>
      </c>
    </row>
    <row r="56" ht="15.75" customHeight="1">
      <c r="A56" s="15" t="s">
        <v>71</v>
      </c>
      <c r="B56" s="27">
        <v>6.97</v>
      </c>
      <c r="C56" s="28">
        <v>9.85</v>
      </c>
      <c r="D56" s="28">
        <v>9.0761</v>
      </c>
      <c r="E56" s="28">
        <v>7.04</v>
      </c>
      <c r="F56" s="28">
        <v>31.96</v>
      </c>
      <c r="G56" s="28">
        <v>25.62</v>
      </c>
      <c r="J56" s="15" t="s">
        <v>71</v>
      </c>
      <c r="K56" s="67">
        <f t="shared" si="1"/>
        <v>0.01431392694</v>
      </c>
      <c r="L56" s="68">
        <f t="shared" si="2"/>
        <v>0.01236744928</v>
      </c>
      <c r="M56" s="68">
        <f t="shared" si="3"/>
        <v>0.006712145265</v>
      </c>
      <c r="N56" s="68">
        <f t="shared" si="4"/>
        <v>0.01676627984</v>
      </c>
      <c r="O56" s="68">
        <f t="shared" si="5"/>
        <v>0.01419330034</v>
      </c>
    </row>
    <row r="57" ht="15.75" customHeight="1">
      <c r="A57" s="15" t="s">
        <v>72</v>
      </c>
      <c r="B57" s="27">
        <v>6.6823</v>
      </c>
      <c r="C57" s="28">
        <v>9.2927</v>
      </c>
      <c r="D57" s="28">
        <v>8.7055</v>
      </c>
      <c r="E57" s="28">
        <v>6.7394</v>
      </c>
      <c r="F57" s="28">
        <v>33.0262</v>
      </c>
      <c r="G57" s="28">
        <v>26.6382</v>
      </c>
      <c r="J57" s="15" t="s">
        <v>72</v>
      </c>
      <c r="K57" s="67">
        <f t="shared" si="1"/>
        <v>0.01350406385</v>
      </c>
      <c r="L57" s="68">
        <f t="shared" si="2"/>
        <v>0.0118624552</v>
      </c>
      <c r="M57" s="68">
        <f t="shared" si="3"/>
        <v>0.006425544289</v>
      </c>
      <c r="N57" s="68">
        <f t="shared" si="4"/>
        <v>0.01732561049</v>
      </c>
      <c r="O57" s="68">
        <f t="shared" si="5"/>
        <v>0.014757376</v>
      </c>
    </row>
    <row r="58" ht="15.75" customHeight="1">
      <c r="A58" s="15"/>
      <c r="B58" s="25"/>
      <c r="C58" s="26"/>
      <c r="D58" s="26"/>
      <c r="E58" s="26"/>
      <c r="F58" s="26"/>
      <c r="G58" s="26"/>
      <c r="J58" s="15"/>
      <c r="K58" s="67">
        <f t="shared" si="1"/>
        <v>0</v>
      </c>
      <c r="L58" s="68">
        <f t="shared" si="2"/>
        <v>0</v>
      </c>
      <c r="M58" s="68">
        <f t="shared" si="3"/>
        <v>0</v>
      </c>
      <c r="N58" s="68">
        <f t="shared" si="4"/>
        <v>0</v>
      </c>
      <c r="O58" s="68">
        <f t="shared" si="5"/>
        <v>0</v>
      </c>
    </row>
    <row r="59" ht="15.75" customHeight="1">
      <c r="A59" s="20" t="s">
        <v>73</v>
      </c>
      <c r="B59" s="21">
        <v>245.6955</v>
      </c>
      <c r="C59" s="18">
        <v>245.6955</v>
      </c>
      <c r="D59" s="18">
        <v>245.7</v>
      </c>
      <c r="E59" s="18">
        <v>245.6955</v>
      </c>
      <c r="F59" s="18">
        <v>245.6955</v>
      </c>
      <c r="G59" s="18">
        <v>245.6955</v>
      </c>
      <c r="J59" s="20" t="s">
        <v>73</v>
      </c>
      <c r="K59" s="67">
        <f t="shared" si="1"/>
        <v>0.3570423794</v>
      </c>
      <c r="L59" s="68">
        <f t="shared" si="2"/>
        <v>0.3348004415</v>
      </c>
      <c r="M59" s="68">
        <f t="shared" si="3"/>
        <v>0.234253393</v>
      </c>
      <c r="N59" s="68">
        <f t="shared" si="4"/>
        <v>0.1288923501</v>
      </c>
      <c r="O59" s="68">
        <f t="shared" si="5"/>
        <v>0.1361135841</v>
      </c>
    </row>
    <row r="60" ht="15.75" customHeight="1">
      <c r="A60" s="15" t="s">
        <v>74</v>
      </c>
      <c r="B60" s="27">
        <v>6.97</v>
      </c>
      <c r="C60" s="28">
        <v>9.85</v>
      </c>
      <c r="D60" s="28">
        <v>9.0761</v>
      </c>
      <c r="E60" s="28">
        <v>7.04</v>
      </c>
      <c r="F60" s="28">
        <v>37.68</v>
      </c>
      <c r="G60" s="28">
        <v>25.62</v>
      </c>
      <c r="J60" s="15" t="s">
        <v>74</v>
      </c>
      <c r="K60" s="67">
        <f t="shared" si="1"/>
        <v>0.01431392694</v>
      </c>
      <c r="L60" s="68">
        <f t="shared" si="2"/>
        <v>0.01236744928</v>
      </c>
      <c r="M60" s="68">
        <f t="shared" si="3"/>
        <v>0.006712145265</v>
      </c>
      <c r="N60" s="68">
        <f t="shared" si="4"/>
        <v>0.01976700327</v>
      </c>
      <c r="O60" s="68">
        <f t="shared" si="5"/>
        <v>0.01419330034</v>
      </c>
    </row>
    <row r="61" ht="15.75" customHeight="1">
      <c r="A61" s="15" t="s">
        <v>75</v>
      </c>
      <c r="B61" s="27">
        <v>6.97</v>
      </c>
      <c r="C61" s="28">
        <v>9.85</v>
      </c>
      <c r="D61" s="28">
        <v>9.0761</v>
      </c>
      <c r="E61" s="28">
        <v>7.04</v>
      </c>
      <c r="F61" s="28">
        <v>31.96</v>
      </c>
      <c r="G61" s="28">
        <v>25.62</v>
      </c>
      <c r="J61" s="15" t="s">
        <v>75</v>
      </c>
      <c r="K61" s="67">
        <f t="shared" si="1"/>
        <v>0.01431392694</v>
      </c>
      <c r="L61" s="68">
        <f t="shared" si="2"/>
        <v>0.01236744928</v>
      </c>
      <c r="M61" s="68">
        <f t="shared" si="3"/>
        <v>0.006712145265</v>
      </c>
      <c r="N61" s="68">
        <f t="shared" si="4"/>
        <v>0.01676627984</v>
      </c>
      <c r="O61" s="68">
        <f t="shared" si="5"/>
        <v>0.01419330034</v>
      </c>
    </row>
    <row r="62" ht="15.75" customHeight="1">
      <c r="A62" s="15" t="s">
        <v>76</v>
      </c>
      <c r="B62" s="27">
        <v>6.6823</v>
      </c>
      <c r="C62" s="28">
        <v>9.2927</v>
      </c>
      <c r="D62" s="28">
        <v>8.7055</v>
      </c>
      <c r="E62" s="28">
        <v>6.7394</v>
      </c>
      <c r="F62" s="28">
        <v>33.0262</v>
      </c>
      <c r="G62" s="28">
        <v>26.6382</v>
      </c>
      <c r="J62" s="15" t="s">
        <v>76</v>
      </c>
      <c r="K62" s="67">
        <f t="shared" si="1"/>
        <v>0.01350406385</v>
      </c>
      <c r="L62" s="68">
        <f t="shared" si="2"/>
        <v>0.0118624552</v>
      </c>
      <c r="M62" s="68">
        <f t="shared" si="3"/>
        <v>0.006425544289</v>
      </c>
      <c r="N62" s="68">
        <f t="shared" si="4"/>
        <v>0.01732561049</v>
      </c>
      <c r="O62" s="68">
        <f t="shared" si="5"/>
        <v>0.014757376</v>
      </c>
    </row>
    <row r="63" ht="15.75" customHeight="1">
      <c r="A63" s="15"/>
      <c r="B63" s="29"/>
      <c r="C63" s="26"/>
      <c r="D63" s="26"/>
      <c r="E63" s="26"/>
      <c r="F63" s="26"/>
      <c r="G63" s="26"/>
      <c r="J63" s="15"/>
      <c r="K63" s="67">
        <f t="shared" si="1"/>
        <v>0</v>
      </c>
      <c r="L63" s="68">
        <f t="shared" si="2"/>
        <v>0</v>
      </c>
      <c r="M63" s="68">
        <f t="shared" si="3"/>
        <v>0</v>
      </c>
      <c r="N63" s="68">
        <f t="shared" si="4"/>
        <v>0</v>
      </c>
      <c r="O63" s="68">
        <f t="shared" si="5"/>
        <v>0</v>
      </c>
    </row>
    <row r="64" ht="15.75" customHeight="1">
      <c r="A64" s="32"/>
      <c r="B64" s="33"/>
      <c r="C64" s="32"/>
      <c r="D64" s="32"/>
      <c r="E64" s="32"/>
      <c r="F64" s="32"/>
      <c r="G64" s="32"/>
      <c r="J64" s="32"/>
      <c r="K64" s="32"/>
      <c r="L64" s="32"/>
      <c r="M64" s="32"/>
      <c r="N64" s="32"/>
      <c r="O64" s="32"/>
    </row>
    <row r="65" ht="15.75" customHeight="1"/>
    <row r="66" ht="15.75" customHeight="1">
      <c r="A66" s="2" t="s">
        <v>170</v>
      </c>
      <c r="B66" s="3"/>
      <c r="C66" s="3"/>
      <c r="D66" s="3"/>
      <c r="E66" s="3"/>
      <c r="F66" s="3"/>
      <c r="G66" s="3"/>
      <c r="J66" s="69"/>
      <c r="K66" s="70"/>
      <c r="L66" s="70"/>
      <c r="M66" s="70"/>
      <c r="N66" s="70"/>
      <c r="O66" s="70"/>
    </row>
    <row r="67" ht="15.75" customHeight="1"/>
    <row r="68" ht="15.75" customHeight="1">
      <c r="A68" s="8" t="s">
        <v>7</v>
      </c>
      <c r="B68" s="34" t="s">
        <v>8</v>
      </c>
      <c r="C68" s="10" t="s">
        <v>9</v>
      </c>
      <c r="D68" s="10" t="s">
        <v>10</v>
      </c>
      <c r="E68" s="10" t="s">
        <v>11</v>
      </c>
      <c r="F68" s="10" t="s">
        <v>12</v>
      </c>
      <c r="G68" s="10" t="s">
        <v>13</v>
      </c>
      <c r="J68" s="8" t="s">
        <v>7</v>
      </c>
      <c r="K68" s="10" t="s">
        <v>9</v>
      </c>
      <c r="L68" s="10" t="s">
        <v>10</v>
      </c>
      <c r="M68" s="10" t="s">
        <v>11</v>
      </c>
      <c r="N68" s="10" t="s">
        <v>12</v>
      </c>
      <c r="O68" s="10" t="s">
        <v>13</v>
      </c>
    </row>
    <row r="69" ht="15.75" customHeight="1">
      <c r="A69" s="12" t="s">
        <v>14</v>
      </c>
      <c r="B69" s="36" t="s">
        <v>15</v>
      </c>
      <c r="C69" s="14" t="s">
        <v>16</v>
      </c>
      <c r="D69" s="14" t="s">
        <v>17</v>
      </c>
      <c r="E69" s="14" t="s">
        <v>18</v>
      </c>
      <c r="F69" s="14" t="s">
        <v>19</v>
      </c>
      <c r="G69" s="14" t="s">
        <v>20</v>
      </c>
      <c r="J69" s="12" t="s">
        <v>14</v>
      </c>
      <c r="K69" s="14" t="s">
        <v>16</v>
      </c>
      <c r="L69" s="14" t="s">
        <v>17</v>
      </c>
      <c r="M69" s="14" t="s">
        <v>18</v>
      </c>
      <c r="N69" s="14" t="s">
        <v>19</v>
      </c>
      <c r="O69" s="14" t="s">
        <v>20</v>
      </c>
    </row>
    <row r="70" ht="15.75" customHeight="1">
      <c r="A70" s="15" t="s">
        <v>78</v>
      </c>
      <c r="B70" s="37"/>
      <c r="C70" s="26"/>
      <c r="D70" s="26"/>
      <c r="E70" s="26"/>
      <c r="F70" s="26"/>
      <c r="G70" s="26"/>
      <c r="J70" s="15" t="s">
        <v>78</v>
      </c>
      <c r="K70" s="26"/>
      <c r="L70" s="26"/>
      <c r="M70" s="26"/>
      <c r="N70" s="26"/>
      <c r="O70" s="26"/>
    </row>
    <row r="71" ht="15.75" customHeight="1">
      <c r="A71" s="20" t="s">
        <v>79</v>
      </c>
      <c r="B71" s="40">
        <v>3545.7</v>
      </c>
      <c r="C71" s="18">
        <v>2651.3</v>
      </c>
      <c r="D71" s="18">
        <v>3070.3</v>
      </c>
      <c r="E71" s="18">
        <v>4123.6</v>
      </c>
      <c r="F71" s="18">
        <v>7903.1</v>
      </c>
      <c r="G71" s="18">
        <v>14794.2</v>
      </c>
      <c r="J71" s="20" t="s">
        <v>79</v>
      </c>
      <c r="K71" s="18">
        <f t="shared" ref="K71:K149" si="6">IFERROR(C71/$C$71*100,"")</f>
        <v>100</v>
      </c>
      <c r="L71" s="18">
        <f t="shared" ref="L71:L149" si="7">IFERROR(D71/$D$71*100,"")</f>
        <v>100</v>
      </c>
      <c r="M71" s="18">
        <f t="shared" ref="M71:M149" si="8">IFERROR(E71/$E$71*100,"")</f>
        <v>100</v>
      </c>
      <c r="N71" s="18">
        <f t="shared" ref="N71:N149" si="9">IFERROR(F71/$F$71*100,"")</f>
        <v>100</v>
      </c>
      <c r="O71" s="18">
        <f t="shared" ref="O71:O149" si="10">IFERROR(G71/$G$71*100,"")</f>
        <v>100</v>
      </c>
    </row>
    <row r="72" ht="15.75" customHeight="1">
      <c r="A72" s="20" t="s">
        <v>80</v>
      </c>
      <c r="B72" s="40">
        <v>2439.4</v>
      </c>
      <c r="C72" s="18">
        <v>2400.2</v>
      </c>
      <c r="D72" s="18">
        <v>2999.8</v>
      </c>
      <c r="E72" s="18">
        <v>3812.2</v>
      </c>
      <c r="F72" s="18">
        <v>6443.5</v>
      </c>
      <c r="G72" s="18">
        <v>13087.6</v>
      </c>
      <c r="J72" s="20" t="s">
        <v>80</v>
      </c>
      <c r="K72" s="18">
        <f t="shared" si="6"/>
        <v>90.52917437</v>
      </c>
      <c r="L72" s="18">
        <f t="shared" si="7"/>
        <v>97.70380745</v>
      </c>
      <c r="M72" s="18">
        <f t="shared" si="8"/>
        <v>92.44834611</v>
      </c>
      <c r="N72" s="18">
        <f t="shared" si="9"/>
        <v>81.53129785</v>
      </c>
      <c r="O72" s="18">
        <f t="shared" si="10"/>
        <v>88.46439821</v>
      </c>
    </row>
    <row r="73" ht="15.75" customHeight="1">
      <c r="A73" s="20" t="s">
        <v>81</v>
      </c>
      <c r="B73" s="40">
        <v>1106.3</v>
      </c>
      <c r="C73" s="18">
        <v>251.1</v>
      </c>
      <c r="D73" s="18">
        <v>70.5</v>
      </c>
      <c r="E73" s="18">
        <v>311.4</v>
      </c>
      <c r="F73" s="18">
        <v>1459.6</v>
      </c>
      <c r="G73" s="18">
        <v>1706.6</v>
      </c>
      <c r="J73" s="20" t="s">
        <v>81</v>
      </c>
      <c r="K73" s="18">
        <f t="shared" si="6"/>
        <v>9.470825633</v>
      </c>
      <c r="L73" s="18">
        <f t="shared" si="7"/>
        <v>2.296192554</v>
      </c>
      <c r="M73" s="18">
        <f t="shared" si="8"/>
        <v>7.551653895</v>
      </c>
      <c r="N73" s="18">
        <f t="shared" si="9"/>
        <v>18.46870215</v>
      </c>
      <c r="O73" s="18">
        <f t="shared" si="10"/>
        <v>11.53560179</v>
      </c>
    </row>
    <row r="74" ht="15.75" customHeight="1">
      <c r="A74" s="20" t="s">
        <v>82</v>
      </c>
      <c r="B74" s="40">
        <v>8386.3</v>
      </c>
      <c r="C74" s="18">
        <v>9421.5</v>
      </c>
      <c r="D74" s="18">
        <v>11500.9</v>
      </c>
      <c r="E74" s="18">
        <v>21757.0</v>
      </c>
      <c r="F74" s="18">
        <v>30762.5</v>
      </c>
      <c r="G74" s="18">
        <v>20380.5</v>
      </c>
      <c r="J74" s="20" t="s">
        <v>82</v>
      </c>
      <c r="K74" s="18">
        <f t="shared" si="6"/>
        <v>355.3539773</v>
      </c>
      <c r="L74" s="18">
        <f t="shared" si="7"/>
        <v>374.5855454</v>
      </c>
      <c r="M74" s="18">
        <f t="shared" si="8"/>
        <v>527.6214958</v>
      </c>
      <c r="N74" s="18">
        <f t="shared" si="9"/>
        <v>389.2459921</v>
      </c>
      <c r="O74" s="18">
        <f t="shared" si="10"/>
        <v>137.7600681</v>
      </c>
    </row>
    <row r="75" ht="15.75" customHeight="1">
      <c r="A75" s="20" t="s">
        <v>83</v>
      </c>
      <c r="B75" s="40">
        <v>8386.3</v>
      </c>
      <c r="C75" s="18">
        <v>9421.5</v>
      </c>
      <c r="D75" s="18">
        <v>11500.9</v>
      </c>
      <c r="E75" s="18">
        <v>21757.0</v>
      </c>
      <c r="F75" s="18">
        <v>30762.5</v>
      </c>
      <c r="G75" s="18">
        <v>20380.5</v>
      </c>
      <c r="J75" s="20" t="s">
        <v>83</v>
      </c>
      <c r="K75" s="18">
        <f t="shared" si="6"/>
        <v>355.3539773</v>
      </c>
      <c r="L75" s="18">
        <f t="shared" si="7"/>
        <v>374.5855454</v>
      </c>
      <c r="M75" s="18">
        <f t="shared" si="8"/>
        <v>527.6214958</v>
      </c>
      <c r="N75" s="18">
        <f t="shared" si="9"/>
        <v>389.2459921</v>
      </c>
      <c r="O75" s="18">
        <f t="shared" si="10"/>
        <v>137.7600681</v>
      </c>
    </row>
    <row r="76" ht="15.75" customHeight="1">
      <c r="A76" s="20" t="s">
        <v>84</v>
      </c>
      <c r="B76" s="40">
        <v>0.0</v>
      </c>
      <c r="C76" s="18">
        <v>0.0</v>
      </c>
      <c r="D76" s="18">
        <v>0.0</v>
      </c>
      <c r="E76" s="18">
        <v>0.0</v>
      </c>
      <c r="F76" s="18">
        <v>0.0</v>
      </c>
      <c r="G76" s="18">
        <v>0.0</v>
      </c>
      <c r="J76" s="20" t="s">
        <v>84</v>
      </c>
      <c r="K76" s="18">
        <f t="shared" si="6"/>
        <v>0</v>
      </c>
      <c r="L76" s="18">
        <f t="shared" si="7"/>
        <v>0</v>
      </c>
      <c r="M76" s="18">
        <f t="shared" si="8"/>
        <v>0</v>
      </c>
      <c r="N76" s="18">
        <f t="shared" si="9"/>
        <v>0</v>
      </c>
      <c r="O76" s="18">
        <f t="shared" si="10"/>
        <v>0</v>
      </c>
    </row>
    <row r="77" ht="15.75" customHeight="1">
      <c r="A77" s="20" t="s">
        <v>85</v>
      </c>
      <c r="B77" s="40">
        <v>0.0</v>
      </c>
      <c r="C77" s="18" t="s">
        <v>26</v>
      </c>
      <c r="D77" s="18" t="s">
        <v>26</v>
      </c>
      <c r="E77" s="18">
        <v>4231.1</v>
      </c>
      <c r="F77" s="18">
        <v>7093.2</v>
      </c>
      <c r="G77" s="18">
        <v>4231.8</v>
      </c>
      <c r="J77" s="20" t="s">
        <v>85</v>
      </c>
      <c r="K77" s="18" t="str">
        <f t="shared" si="6"/>
        <v/>
      </c>
      <c r="L77" s="18" t="str">
        <f t="shared" si="7"/>
        <v/>
      </c>
      <c r="M77" s="18">
        <f t="shared" si="8"/>
        <v>102.6069454</v>
      </c>
      <c r="N77" s="18">
        <f t="shared" si="9"/>
        <v>89.75212258</v>
      </c>
      <c r="O77" s="18">
        <f t="shared" si="10"/>
        <v>28.6044531</v>
      </c>
    </row>
    <row r="78" ht="15.75" customHeight="1">
      <c r="A78" s="20" t="s">
        <v>86</v>
      </c>
      <c r="B78" s="40">
        <v>95.8</v>
      </c>
      <c r="C78" s="18">
        <v>88.8</v>
      </c>
      <c r="D78" s="18">
        <v>77.6</v>
      </c>
      <c r="E78" s="18">
        <v>97.1</v>
      </c>
      <c r="F78" s="18">
        <v>57.1</v>
      </c>
      <c r="G78" s="18">
        <v>24.4</v>
      </c>
      <c r="J78" s="20" t="s">
        <v>86</v>
      </c>
      <c r="K78" s="18">
        <f t="shared" si="6"/>
        <v>3.349300343</v>
      </c>
      <c r="L78" s="18">
        <f t="shared" si="7"/>
        <v>2.527440315</v>
      </c>
      <c r="M78" s="18">
        <f t="shared" si="8"/>
        <v>2.354738578</v>
      </c>
      <c r="N78" s="18">
        <f t="shared" si="9"/>
        <v>0.722501297</v>
      </c>
      <c r="O78" s="18">
        <f t="shared" si="10"/>
        <v>0.1649294994</v>
      </c>
    </row>
    <row r="79" ht="15.75" customHeight="1">
      <c r="A79" s="20" t="s">
        <v>87</v>
      </c>
      <c r="B79" s="40">
        <v>0.5</v>
      </c>
      <c r="C79" s="18">
        <v>0.0</v>
      </c>
      <c r="D79" s="18">
        <v>0.0</v>
      </c>
      <c r="E79" s="18">
        <v>0.0</v>
      </c>
      <c r="F79" s="18">
        <v>0.0</v>
      </c>
      <c r="G79" s="18">
        <v>0.0</v>
      </c>
      <c r="J79" s="20" t="s">
        <v>87</v>
      </c>
      <c r="K79" s="18">
        <f t="shared" si="6"/>
        <v>0</v>
      </c>
      <c r="L79" s="18">
        <f t="shared" si="7"/>
        <v>0</v>
      </c>
      <c r="M79" s="18">
        <f t="shared" si="8"/>
        <v>0</v>
      </c>
      <c r="N79" s="18">
        <f t="shared" si="9"/>
        <v>0</v>
      </c>
      <c r="O79" s="18">
        <f t="shared" si="10"/>
        <v>0</v>
      </c>
    </row>
    <row r="80" ht="15.75" customHeight="1">
      <c r="A80" s="20" t="s">
        <v>88</v>
      </c>
      <c r="B80" s="40">
        <v>0.0</v>
      </c>
      <c r="C80" s="18">
        <v>0.0</v>
      </c>
      <c r="D80" s="18">
        <v>0.0</v>
      </c>
      <c r="E80" s="18">
        <v>0.0</v>
      </c>
      <c r="F80" s="18">
        <v>0.0</v>
      </c>
      <c r="G80" s="18">
        <v>0.0</v>
      </c>
      <c r="J80" s="20" t="s">
        <v>88</v>
      </c>
      <c r="K80" s="18">
        <f t="shared" si="6"/>
        <v>0</v>
      </c>
      <c r="L80" s="18">
        <f t="shared" si="7"/>
        <v>0</v>
      </c>
      <c r="M80" s="18">
        <f t="shared" si="8"/>
        <v>0</v>
      </c>
      <c r="N80" s="18">
        <f t="shared" si="9"/>
        <v>0</v>
      </c>
      <c r="O80" s="18">
        <f t="shared" si="10"/>
        <v>0</v>
      </c>
    </row>
    <row r="81" ht="15.75" customHeight="1">
      <c r="A81" s="20" t="s">
        <v>89</v>
      </c>
      <c r="B81" s="40">
        <v>0.0</v>
      </c>
      <c r="C81" s="18">
        <v>88.8</v>
      </c>
      <c r="D81" s="18">
        <v>77.6</v>
      </c>
      <c r="E81" s="18">
        <v>37.5</v>
      </c>
      <c r="F81" s="18">
        <v>29.2</v>
      </c>
      <c r="G81" s="18">
        <v>24.4</v>
      </c>
      <c r="J81" s="20" t="s">
        <v>89</v>
      </c>
      <c r="K81" s="18">
        <f t="shared" si="6"/>
        <v>3.349300343</v>
      </c>
      <c r="L81" s="18">
        <f t="shared" si="7"/>
        <v>2.527440315</v>
      </c>
      <c r="M81" s="18">
        <f t="shared" si="8"/>
        <v>0.9093995538</v>
      </c>
      <c r="N81" s="18">
        <f t="shared" si="9"/>
        <v>0.3694752692</v>
      </c>
      <c r="O81" s="18">
        <f t="shared" si="10"/>
        <v>0.1649294994</v>
      </c>
    </row>
    <row r="82" ht="15.75" customHeight="1">
      <c r="A82" s="20" t="s">
        <v>90</v>
      </c>
      <c r="B82" s="40">
        <v>95.3</v>
      </c>
      <c r="C82" s="18">
        <v>0.0</v>
      </c>
      <c r="D82" s="18">
        <v>0.0</v>
      </c>
      <c r="E82" s="18">
        <v>59.6</v>
      </c>
      <c r="F82" s="18">
        <v>27.9</v>
      </c>
      <c r="G82" s="18">
        <v>0.0</v>
      </c>
      <c r="J82" s="20" t="s">
        <v>90</v>
      </c>
      <c r="K82" s="18">
        <f t="shared" si="6"/>
        <v>0</v>
      </c>
      <c r="L82" s="18">
        <f t="shared" si="7"/>
        <v>0</v>
      </c>
      <c r="M82" s="18">
        <f t="shared" si="8"/>
        <v>1.445339024</v>
      </c>
      <c r="N82" s="18">
        <f t="shared" si="9"/>
        <v>0.3530260278</v>
      </c>
      <c r="O82" s="18">
        <f t="shared" si="10"/>
        <v>0</v>
      </c>
    </row>
    <row r="83" ht="15.75" customHeight="1">
      <c r="A83" s="20" t="s">
        <v>91</v>
      </c>
      <c r="B83" s="40">
        <v>2079.7</v>
      </c>
      <c r="C83" s="18">
        <v>4567.9</v>
      </c>
      <c r="D83" s="18">
        <v>8224.5</v>
      </c>
      <c r="E83" s="18">
        <v>4946.7</v>
      </c>
      <c r="F83" s="18">
        <v>6987.1</v>
      </c>
      <c r="G83" s="18">
        <v>4944.5</v>
      </c>
      <c r="J83" s="20" t="s">
        <v>91</v>
      </c>
      <c r="K83" s="18">
        <f t="shared" si="6"/>
        <v>172.2890657</v>
      </c>
      <c r="L83" s="18">
        <f t="shared" si="7"/>
        <v>267.8728463</v>
      </c>
      <c r="M83" s="18">
        <f t="shared" si="8"/>
        <v>119.9607139</v>
      </c>
      <c r="N83" s="18">
        <f t="shared" si="9"/>
        <v>88.40961142</v>
      </c>
      <c r="O83" s="18">
        <f t="shared" si="10"/>
        <v>33.42188155</v>
      </c>
    </row>
    <row r="84" ht="15.75" customHeight="1">
      <c r="A84" s="20" t="s">
        <v>92</v>
      </c>
      <c r="B84" s="40">
        <v>608.7</v>
      </c>
      <c r="C84" s="18">
        <v>1139.6</v>
      </c>
      <c r="D84" s="18">
        <v>998.3</v>
      </c>
      <c r="E84" s="18">
        <v>1077.4</v>
      </c>
      <c r="F84" s="18">
        <v>2464.8</v>
      </c>
      <c r="G84" s="18">
        <v>1573.2</v>
      </c>
      <c r="J84" s="20" t="s">
        <v>92</v>
      </c>
      <c r="K84" s="18">
        <f t="shared" si="6"/>
        <v>42.98268774</v>
      </c>
      <c r="L84" s="18">
        <f t="shared" si="7"/>
        <v>32.51473797</v>
      </c>
      <c r="M84" s="18">
        <f t="shared" si="8"/>
        <v>26.12765545</v>
      </c>
      <c r="N84" s="18">
        <f t="shared" si="9"/>
        <v>31.18776176</v>
      </c>
      <c r="O84" s="18">
        <f t="shared" si="10"/>
        <v>10.63389707</v>
      </c>
    </row>
    <row r="85" ht="15.75" customHeight="1">
      <c r="A85" s="20" t="s">
        <v>93</v>
      </c>
      <c r="B85" s="40">
        <v>0.0</v>
      </c>
      <c r="C85" s="18">
        <v>0.0</v>
      </c>
      <c r="D85" s="18">
        <v>0.0</v>
      </c>
      <c r="E85" s="18">
        <v>0.0</v>
      </c>
      <c r="F85" s="18">
        <v>0.0</v>
      </c>
      <c r="G85" s="18" t="s">
        <v>26</v>
      </c>
      <c r="J85" s="20" t="s">
        <v>93</v>
      </c>
      <c r="K85" s="18">
        <f t="shared" si="6"/>
        <v>0</v>
      </c>
      <c r="L85" s="18">
        <f t="shared" si="7"/>
        <v>0</v>
      </c>
      <c r="M85" s="18">
        <f t="shared" si="8"/>
        <v>0</v>
      </c>
      <c r="N85" s="18">
        <f t="shared" si="9"/>
        <v>0</v>
      </c>
      <c r="O85" s="18" t="str">
        <f t="shared" si="10"/>
        <v/>
      </c>
    </row>
    <row r="86" ht="15.75" customHeight="1">
      <c r="A86" s="20" t="s">
        <v>94</v>
      </c>
      <c r="B86" s="40">
        <v>124.3</v>
      </c>
      <c r="C86" s="18">
        <v>137.6</v>
      </c>
      <c r="D86" s="18">
        <v>0.0</v>
      </c>
      <c r="E86" s="18">
        <v>1674.7</v>
      </c>
      <c r="F86" s="18">
        <v>2465.0</v>
      </c>
      <c r="G86" s="18">
        <v>978.8</v>
      </c>
      <c r="J86" s="20" t="s">
        <v>94</v>
      </c>
      <c r="K86" s="18">
        <f t="shared" si="6"/>
        <v>5.189906838</v>
      </c>
      <c r="L86" s="18">
        <f t="shared" si="7"/>
        <v>0</v>
      </c>
      <c r="M86" s="18">
        <f t="shared" si="8"/>
        <v>40.61257154</v>
      </c>
      <c r="N86" s="18">
        <f t="shared" si="9"/>
        <v>31.19029242</v>
      </c>
      <c r="O86" s="18">
        <f t="shared" si="10"/>
        <v>6.616106312</v>
      </c>
    </row>
    <row r="87" ht="15.75" customHeight="1">
      <c r="A87" s="20" t="s">
        <v>95</v>
      </c>
      <c r="B87" s="40" t="s">
        <v>26</v>
      </c>
      <c r="C87" s="18" t="s">
        <v>26</v>
      </c>
      <c r="D87" s="18" t="s">
        <v>26</v>
      </c>
      <c r="E87" s="18" t="s">
        <v>26</v>
      </c>
      <c r="F87" s="18" t="s">
        <v>26</v>
      </c>
      <c r="G87" s="18" t="s">
        <v>26</v>
      </c>
      <c r="J87" s="20" t="s">
        <v>95</v>
      </c>
      <c r="K87" s="18" t="str">
        <f t="shared" si="6"/>
        <v/>
      </c>
      <c r="L87" s="18" t="str">
        <f t="shared" si="7"/>
        <v/>
      </c>
      <c r="M87" s="18" t="str">
        <f t="shared" si="8"/>
        <v/>
      </c>
      <c r="N87" s="18" t="str">
        <f t="shared" si="9"/>
        <v/>
      </c>
      <c r="O87" s="18" t="str">
        <f t="shared" si="10"/>
        <v/>
      </c>
    </row>
    <row r="88" ht="15.75" customHeight="1">
      <c r="A88" s="20" t="s">
        <v>96</v>
      </c>
      <c r="B88" s="40">
        <v>290.5</v>
      </c>
      <c r="C88" s="18">
        <v>120.2</v>
      </c>
      <c r="D88" s="18">
        <v>130.2</v>
      </c>
      <c r="E88" s="18">
        <v>128.0</v>
      </c>
      <c r="F88" s="18">
        <v>108.7</v>
      </c>
      <c r="G88" s="18">
        <v>173.0</v>
      </c>
      <c r="J88" s="20" t="s">
        <v>96</v>
      </c>
      <c r="K88" s="18">
        <f t="shared" si="6"/>
        <v>4.533625014</v>
      </c>
      <c r="L88" s="18">
        <f t="shared" si="7"/>
        <v>4.240627952</v>
      </c>
      <c r="M88" s="18">
        <f t="shared" si="8"/>
        <v>3.10408381</v>
      </c>
      <c r="N88" s="18">
        <f t="shared" si="9"/>
        <v>1.375409649</v>
      </c>
      <c r="O88" s="18">
        <f t="shared" si="10"/>
        <v>1.169377188</v>
      </c>
    </row>
    <row r="89" ht="15.75" customHeight="1">
      <c r="A89" s="20" t="s">
        <v>97</v>
      </c>
      <c r="B89" s="40">
        <v>1056.2</v>
      </c>
      <c r="C89" s="18">
        <v>3170.5</v>
      </c>
      <c r="D89" s="18">
        <v>7096.0</v>
      </c>
      <c r="E89" s="18">
        <v>2066.6</v>
      </c>
      <c r="F89" s="18">
        <v>1948.6</v>
      </c>
      <c r="G89" s="18">
        <v>2219.5</v>
      </c>
      <c r="J89" s="20" t="s">
        <v>97</v>
      </c>
      <c r="K89" s="18">
        <f t="shared" si="6"/>
        <v>119.5828462</v>
      </c>
      <c r="L89" s="18">
        <f t="shared" si="7"/>
        <v>231.1174804</v>
      </c>
      <c r="M89" s="18">
        <f t="shared" si="8"/>
        <v>50.11640314</v>
      </c>
      <c r="N89" s="18">
        <f t="shared" si="9"/>
        <v>24.65614759</v>
      </c>
      <c r="O89" s="18">
        <f t="shared" si="10"/>
        <v>15.00250098</v>
      </c>
    </row>
    <row r="90" ht="15.75" customHeight="1">
      <c r="A90" s="15" t="s">
        <v>98</v>
      </c>
      <c r="B90" s="44">
        <v>14107.5</v>
      </c>
      <c r="C90" s="17">
        <v>16729.5</v>
      </c>
      <c r="D90" s="17">
        <v>22873.3</v>
      </c>
      <c r="E90" s="17">
        <v>35155.5</v>
      </c>
      <c r="F90" s="17">
        <v>52803.0</v>
      </c>
      <c r="G90" s="17">
        <v>44375.4</v>
      </c>
      <c r="J90" s="15" t="s">
        <v>98</v>
      </c>
      <c r="K90" s="18">
        <f t="shared" si="6"/>
        <v>630.9923434</v>
      </c>
      <c r="L90" s="18">
        <f t="shared" si="7"/>
        <v>744.985832</v>
      </c>
      <c r="M90" s="18">
        <f t="shared" si="8"/>
        <v>852.5438937</v>
      </c>
      <c r="N90" s="18">
        <f t="shared" si="9"/>
        <v>668.1302274</v>
      </c>
      <c r="O90" s="18">
        <f t="shared" si="10"/>
        <v>299.9513323</v>
      </c>
    </row>
    <row r="91" ht="15.75" customHeight="1">
      <c r="A91" s="20" t="s">
        <v>99</v>
      </c>
      <c r="B91" s="40">
        <v>10974.6</v>
      </c>
      <c r="C91" s="18">
        <v>13013.5</v>
      </c>
      <c r="D91" s="18">
        <v>16824.3</v>
      </c>
      <c r="E91" s="18">
        <v>20670.8</v>
      </c>
      <c r="F91" s="18">
        <v>21863.6</v>
      </c>
      <c r="G91" s="18">
        <v>8157.5</v>
      </c>
      <c r="J91" s="20" t="s">
        <v>99</v>
      </c>
      <c r="K91" s="18">
        <f t="shared" si="6"/>
        <v>490.8346849</v>
      </c>
      <c r="L91" s="18">
        <f t="shared" si="7"/>
        <v>547.9692538</v>
      </c>
      <c r="M91" s="18">
        <f t="shared" si="8"/>
        <v>501.2804346</v>
      </c>
      <c r="N91" s="18">
        <f t="shared" si="9"/>
        <v>276.6458731</v>
      </c>
      <c r="O91" s="18">
        <f t="shared" si="10"/>
        <v>55.1398521</v>
      </c>
    </row>
    <row r="92" ht="15.75" customHeight="1">
      <c r="A92" s="20" t="s">
        <v>100</v>
      </c>
      <c r="B92" s="40">
        <v>14808.8</v>
      </c>
      <c r="C92" s="18">
        <v>17871.2</v>
      </c>
      <c r="D92" s="18">
        <v>22217.4</v>
      </c>
      <c r="E92" s="18">
        <v>27489.0</v>
      </c>
      <c r="F92" s="18">
        <v>28882.5</v>
      </c>
      <c r="G92" s="18">
        <v>11604.7</v>
      </c>
      <c r="J92" s="20" t="s">
        <v>100</v>
      </c>
      <c r="K92" s="18">
        <f t="shared" si="6"/>
        <v>674.0542375</v>
      </c>
      <c r="L92" s="18">
        <f t="shared" si="7"/>
        <v>723.6230987</v>
      </c>
      <c r="M92" s="18">
        <f t="shared" si="8"/>
        <v>666.6262489</v>
      </c>
      <c r="N92" s="18">
        <f t="shared" si="9"/>
        <v>365.4578583</v>
      </c>
      <c r="O92" s="18">
        <f t="shared" si="10"/>
        <v>78.44087548</v>
      </c>
    </row>
    <row r="93" ht="15.75" customHeight="1">
      <c r="A93" s="20" t="s">
        <v>101</v>
      </c>
      <c r="B93" s="40">
        <v>3834.2</v>
      </c>
      <c r="C93" s="18">
        <v>4857.7</v>
      </c>
      <c r="D93" s="18">
        <v>5393.1</v>
      </c>
      <c r="E93" s="18">
        <v>6818.2</v>
      </c>
      <c r="F93" s="18">
        <v>7018.9</v>
      </c>
      <c r="G93" s="18">
        <v>3447.2</v>
      </c>
      <c r="J93" s="20" t="s">
        <v>101</v>
      </c>
      <c r="K93" s="18">
        <f t="shared" si="6"/>
        <v>183.2195527</v>
      </c>
      <c r="L93" s="18">
        <f t="shared" si="7"/>
        <v>175.6538449</v>
      </c>
      <c r="M93" s="18">
        <f t="shared" si="8"/>
        <v>165.3458143</v>
      </c>
      <c r="N93" s="18">
        <f t="shared" si="9"/>
        <v>88.81198517</v>
      </c>
      <c r="O93" s="18">
        <f t="shared" si="10"/>
        <v>23.30102337</v>
      </c>
    </row>
    <row r="94" ht="15.75" customHeight="1">
      <c r="A94" s="20" t="s">
        <v>102</v>
      </c>
      <c r="B94" s="40">
        <v>459.9</v>
      </c>
      <c r="C94" s="18">
        <v>450.8</v>
      </c>
      <c r="D94" s="18">
        <v>1219.5</v>
      </c>
      <c r="E94" s="18">
        <v>394.8</v>
      </c>
      <c r="F94" s="18">
        <v>533.1</v>
      </c>
      <c r="G94" s="18">
        <v>180.9</v>
      </c>
      <c r="J94" s="20" t="s">
        <v>102</v>
      </c>
      <c r="K94" s="18">
        <f t="shared" si="6"/>
        <v>17.00297967</v>
      </c>
      <c r="L94" s="18">
        <f t="shared" si="7"/>
        <v>39.71924568</v>
      </c>
      <c r="M94" s="18">
        <f t="shared" si="8"/>
        <v>9.574158502</v>
      </c>
      <c r="N94" s="18">
        <f t="shared" si="9"/>
        <v>6.745454315</v>
      </c>
      <c r="O94" s="18">
        <f t="shared" si="10"/>
        <v>1.222776493</v>
      </c>
    </row>
    <row r="95" ht="15.75" customHeight="1">
      <c r="A95" s="20" t="s">
        <v>103</v>
      </c>
      <c r="B95" s="40">
        <v>459.9</v>
      </c>
      <c r="C95" s="18">
        <v>450.8</v>
      </c>
      <c r="D95" s="18">
        <v>1219.5</v>
      </c>
      <c r="E95" s="18">
        <v>394.8</v>
      </c>
      <c r="F95" s="18">
        <v>533.1</v>
      </c>
      <c r="G95" s="18">
        <v>180.9</v>
      </c>
      <c r="J95" s="20" t="s">
        <v>103</v>
      </c>
      <c r="K95" s="18">
        <f t="shared" si="6"/>
        <v>17.00297967</v>
      </c>
      <c r="L95" s="18">
        <f t="shared" si="7"/>
        <v>39.71924568</v>
      </c>
      <c r="M95" s="18">
        <f t="shared" si="8"/>
        <v>9.574158502</v>
      </c>
      <c r="N95" s="18">
        <f t="shared" si="9"/>
        <v>6.745454315</v>
      </c>
      <c r="O95" s="18">
        <f t="shared" si="10"/>
        <v>1.222776493</v>
      </c>
    </row>
    <row r="96" ht="15.75" customHeight="1">
      <c r="A96" s="20" t="s">
        <v>104</v>
      </c>
      <c r="B96" s="40" t="s">
        <v>26</v>
      </c>
      <c r="C96" s="18" t="s">
        <v>26</v>
      </c>
      <c r="D96" s="18">
        <v>0.0</v>
      </c>
      <c r="E96" s="18" t="s">
        <v>26</v>
      </c>
      <c r="F96" s="18" t="s">
        <v>26</v>
      </c>
      <c r="G96" s="18" t="s">
        <v>26</v>
      </c>
      <c r="J96" s="20" t="s">
        <v>104</v>
      </c>
      <c r="K96" s="18" t="str">
        <f t="shared" si="6"/>
        <v/>
      </c>
      <c r="L96" s="18">
        <f t="shared" si="7"/>
        <v>0</v>
      </c>
      <c r="M96" s="18" t="str">
        <f t="shared" si="8"/>
        <v/>
      </c>
      <c r="N96" s="18" t="str">
        <f t="shared" si="9"/>
        <v/>
      </c>
      <c r="O96" s="18" t="str">
        <f t="shared" si="10"/>
        <v/>
      </c>
    </row>
    <row r="97" ht="15.75" customHeight="1">
      <c r="A97" s="20" t="s">
        <v>105</v>
      </c>
      <c r="B97" s="40">
        <v>8550.1</v>
      </c>
      <c r="C97" s="18">
        <v>8964.5</v>
      </c>
      <c r="D97" s="18">
        <v>12219.7</v>
      </c>
      <c r="E97" s="18">
        <v>18381.0</v>
      </c>
      <c r="F97" s="18">
        <v>22501.3</v>
      </c>
      <c r="G97" s="18">
        <v>20653.6</v>
      </c>
      <c r="J97" s="20" t="s">
        <v>105</v>
      </c>
      <c r="K97" s="18">
        <f t="shared" si="6"/>
        <v>338.1171501</v>
      </c>
      <c r="L97" s="18">
        <f t="shared" si="7"/>
        <v>397.9969384</v>
      </c>
      <c r="M97" s="18">
        <f t="shared" si="8"/>
        <v>445.7512853</v>
      </c>
      <c r="N97" s="18">
        <f t="shared" si="9"/>
        <v>284.7148587</v>
      </c>
      <c r="O97" s="18">
        <f t="shared" si="10"/>
        <v>139.6060618</v>
      </c>
    </row>
    <row r="98" ht="15.75" customHeight="1">
      <c r="A98" s="20" t="s">
        <v>106</v>
      </c>
      <c r="B98" s="40">
        <v>4273.4</v>
      </c>
      <c r="C98" s="18">
        <v>4161.3</v>
      </c>
      <c r="D98" s="18">
        <v>5222.1</v>
      </c>
      <c r="E98" s="18">
        <v>11000.7</v>
      </c>
      <c r="F98" s="18">
        <v>13082.8</v>
      </c>
      <c r="G98" s="18">
        <v>13448.3</v>
      </c>
      <c r="J98" s="20" t="s">
        <v>106</v>
      </c>
      <c r="K98" s="18">
        <f t="shared" si="6"/>
        <v>156.9531928</v>
      </c>
      <c r="L98" s="18">
        <f t="shared" si="7"/>
        <v>170.0843566</v>
      </c>
      <c r="M98" s="18">
        <f t="shared" si="8"/>
        <v>266.7741779</v>
      </c>
      <c r="N98" s="18">
        <f t="shared" si="9"/>
        <v>165.5401045</v>
      </c>
      <c r="O98" s="18">
        <f t="shared" si="10"/>
        <v>90.90251585</v>
      </c>
    </row>
    <row r="99" ht="15.75" customHeight="1">
      <c r="A99" s="22" t="s">
        <v>107</v>
      </c>
      <c r="B99" s="46">
        <v>2880.0</v>
      </c>
      <c r="C99" s="24">
        <v>2850.1</v>
      </c>
      <c r="D99" s="24">
        <v>3364.6</v>
      </c>
      <c r="E99" s="24">
        <v>5664.3</v>
      </c>
      <c r="F99" s="24">
        <v>6864.6</v>
      </c>
      <c r="G99" s="24">
        <v>7433.7</v>
      </c>
      <c r="J99" s="22" t="s">
        <v>107</v>
      </c>
      <c r="K99" s="18">
        <f t="shared" si="6"/>
        <v>107.4982084</v>
      </c>
      <c r="L99" s="18">
        <f t="shared" si="7"/>
        <v>109.5853825</v>
      </c>
      <c r="M99" s="18">
        <f t="shared" si="8"/>
        <v>137.3629838</v>
      </c>
      <c r="N99" s="18">
        <f t="shared" si="9"/>
        <v>86.85958674</v>
      </c>
      <c r="O99" s="18">
        <f t="shared" si="10"/>
        <v>50.24739425</v>
      </c>
    </row>
    <row r="100" ht="15.75" customHeight="1">
      <c r="A100" s="22" t="s">
        <v>108</v>
      </c>
      <c r="B100" s="46">
        <v>1393.4</v>
      </c>
      <c r="C100" s="24">
        <v>1311.2</v>
      </c>
      <c r="D100" s="24">
        <v>1857.5</v>
      </c>
      <c r="E100" s="24">
        <v>5336.4</v>
      </c>
      <c r="F100" s="24">
        <v>6218.2</v>
      </c>
      <c r="G100" s="24">
        <v>6014.6</v>
      </c>
      <c r="J100" s="22" t="s">
        <v>108</v>
      </c>
      <c r="K100" s="18">
        <f t="shared" si="6"/>
        <v>49.45498435</v>
      </c>
      <c r="L100" s="18">
        <f t="shared" si="7"/>
        <v>60.49897404</v>
      </c>
      <c r="M100" s="18">
        <f t="shared" si="8"/>
        <v>129.4111941</v>
      </c>
      <c r="N100" s="18">
        <f t="shared" si="9"/>
        <v>78.68051777</v>
      </c>
      <c r="O100" s="18">
        <f t="shared" si="10"/>
        <v>40.6551216</v>
      </c>
    </row>
    <row r="101" ht="15.75" customHeight="1">
      <c r="A101" s="20" t="s">
        <v>109</v>
      </c>
      <c r="B101" s="40">
        <v>2.7</v>
      </c>
      <c r="C101" s="18">
        <v>80.8</v>
      </c>
      <c r="D101" s="18">
        <v>34.6</v>
      </c>
      <c r="E101" s="18" t="s">
        <v>26</v>
      </c>
      <c r="F101" s="18" t="s">
        <v>26</v>
      </c>
      <c r="G101" s="18" t="s">
        <v>26</v>
      </c>
      <c r="J101" s="20" t="s">
        <v>109</v>
      </c>
      <c r="K101" s="18">
        <f t="shared" si="6"/>
        <v>3.047561574</v>
      </c>
      <c r="L101" s="18">
        <f t="shared" si="7"/>
        <v>1.126925708</v>
      </c>
      <c r="M101" s="18" t="str">
        <f t="shared" si="8"/>
        <v/>
      </c>
      <c r="N101" s="18" t="str">
        <f t="shared" si="9"/>
        <v/>
      </c>
      <c r="O101" s="18" t="str">
        <f t="shared" si="10"/>
        <v/>
      </c>
    </row>
    <row r="102" ht="15.75" customHeight="1">
      <c r="A102" s="20" t="s">
        <v>95</v>
      </c>
      <c r="B102" s="40">
        <v>974.0</v>
      </c>
      <c r="C102" s="18">
        <v>1097.0</v>
      </c>
      <c r="D102" s="18">
        <v>1219.7</v>
      </c>
      <c r="E102" s="18">
        <v>1921.7</v>
      </c>
      <c r="F102" s="18">
        <v>1793.8</v>
      </c>
      <c r="G102" s="18">
        <v>1064.5</v>
      </c>
      <c r="J102" s="20" t="s">
        <v>95</v>
      </c>
      <c r="K102" s="18">
        <f t="shared" si="6"/>
        <v>41.37592879</v>
      </c>
      <c r="L102" s="18">
        <f t="shared" si="7"/>
        <v>39.7257597</v>
      </c>
      <c r="M102" s="18">
        <f t="shared" si="8"/>
        <v>46.60248327</v>
      </c>
      <c r="N102" s="18">
        <f t="shared" si="9"/>
        <v>22.69742253</v>
      </c>
      <c r="O102" s="18">
        <f t="shared" si="10"/>
        <v>7.195387382</v>
      </c>
    </row>
    <row r="103" ht="15.75" customHeight="1">
      <c r="A103" s="20" t="s">
        <v>93</v>
      </c>
      <c r="B103" s="40">
        <v>0.0</v>
      </c>
      <c r="C103" s="18">
        <v>0.0</v>
      </c>
      <c r="D103" s="18">
        <v>0.0</v>
      </c>
      <c r="E103" s="18">
        <v>0.0</v>
      </c>
      <c r="F103" s="18">
        <v>0.0</v>
      </c>
      <c r="G103" s="18">
        <v>0.0</v>
      </c>
      <c r="J103" s="20" t="s">
        <v>93</v>
      </c>
      <c r="K103" s="18">
        <f t="shared" si="6"/>
        <v>0</v>
      </c>
      <c r="L103" s="18">
        <f t="shared" si="7"/>
        <v>0</v>
      </c>
      <c r="M103" s="18">
        <f t="shared" si="8"/>
        <v>0</v>
      </c>
      <c r="N103" s="18">
        <f t="shared" si="9"/>
        <v>0</v>
      </c>
      <c r="O103" s="18">
        <f t="shared" si="10"/>
        <v>0</v>
      </c>
    </row>
    <row r="104" ht="15.75" customHeight="1">
      <c r="A104" s="20" t="s">
        <v>110</v>
      </c>
      <c r="B104" s="40">
        <v>2139.0</v>
      </c>
      <c r="C104" s="18">
        <v>2137.1</v>
      </c>
      <c r="D104" s="18">
        <v>4133.7</v>
      </c>
      <c r="E104" s="18">
        <v>2534.4</v>
      </c>
      <c r="F104" s="18">
        <v>3673.7</v>
      </c>
      <c r="G104" s="18">
        <v>3925.5</v>
      </c>
      <c r="J104" s="20" t="s">
        <v>110</v>
      </c>
      <c r="K104" s="18">
        <f t="shared" si="6"/>
        <v>80.60574058</v>
      </c>
      <c r="L104" s="18">
        <f t="shared" si="7"/>
        <v>134.6350519</v>
      </c>
      <c r="M104" s="18">
        <f t="shared" si="8"/>
        <v>61.46085944</v>
      </c>
      <c r="N104" s="18">
        <f t="shared" si="9"/>
        <v>46.48429097</v>
      </c>
      <c r="O104" s="18">
        <f t="shared" si="10"/>
        <v>26.53404713</v>
      </c>
    </row>
    <row r="105" ht="15.75" customHeight="1">
      <c r="A105" s="20" t="s">
        <v>111</v>
      </c>
      <c r="B105" s="40">
        <v>1161.0</v>
      </c>
      <c r="C105" s="18">
        <v>1488.3</v>
      </c>
      <c r="D105" s="18">
        <v>1609.6</v>
      </c>
      <c r="E105" s="18">
        <v>2924.2</v>
      </c>
      <c r="F105" s="18">
        <v>3951.0</v>
      </c>
      <c r="G105" s="18">
        <v>2215.3</v>
      </c>
      <c r="J105" s="20" t="s">
        <v>111</v>
      </c>
      <c r="K105" s="18">
        <f t="shared" si="6"/>
        <v>56.13472636</v>
      </c>
      <c r="L105" s="18">
        <f t="shared" si="7"/>
        <v>52.42484448</v>
      </c>
      <c r="M105" s="18">
        <f t="shared" si="8"/>
        <v>70.91376467</v>
      </c>
      <c r="N105" s="18">
        <f t="shared" si="9"/>
        <v>49.99304071</v>
      </c>
      <c r="O105" s="18">
        <f t="shared" si="10"/>
        <v>14.97411148</v>
      </c>
    </row>
    <row r="106" ht="15.75" customHeight="1">
      <c r="A106" s="15" t="s">
        <v>112</v>
      </c>
      <c r="B106" s="44">
        <v>19984.6</v>
      </c>
      <c r="C106" s="17">
        <v>22428.8</v>
      </c>
      <c r="D106" s="17">
        <v>30263.5</v>
      </c>
      <c r="E106" s="17">
        <v>39446.6</v>
      </c>
      <c r="F106" s="17">
        <v>44898.0</v>
      </c>
      <c r="G106" s="17">
        <v>28992.0</v>
      </c>
      <c r="J106" s="15" t="s">
        <v>112</v>
      </c>
      <c r="K106" s="18">
        <f t="shared" si="6"/>
        <v>845.9548146</v>
      </c>
      <c r="L106" s="18">
        <f t="shared" si="7"/>
        <v>985.6854379</v>
      </c>
      <c r="M106" s="18">
        <f t="shared" si="8"/>
        <v>956.6058784</v>
      </c>
      <c r="N106" s="18">
        <f t="shared" si="9"/>
        <v>568.1061862</v>
      </c>
      <c r="O106" s="18">
        <f t="shared" si="10"/>
        <v>195.9686904</v>
      </c>
    </row>
    <row r="107" ht="15.75" customHeight="1">
      <c r="A107" s="15" t="s">
        <v>78</v>
      </c>
      <c r="B107" s="44">
        <v>34092.1</v>
      </c>
      <c r="C107" s="17">
        <v>39158.3</v>
      </c>
      <c r="D107" s="17">
        <v>53136.8</v>
      </c>
      <c r="E107" s="17">
        <v>74602.1</v>
      </c>
      <c r="F107" s="17">
        <v>97701.0</v>
      </c>
      <c r="G107" s="17">
        <v>73367.4</v>
      </c>
      <c r="J107" s="15" t="s">
        <v>78</v>
      </c>
      <c r="K107" s="18">
        <f t="shared" si="6"/>
        <v>1476.947158</v>
      </c>
      <c r="L107" s="18">
        <f t="shared" si="7"/>
        <v>1730.67127</v>
      </c>
      <c r="M107" s="18">
        <f t="shared" si="8"/>
        <v>1809.149772</v>
      </c>
      <c r="N107" s="18">
        <f t="shared" si="9"/>
        <v>1236.236414</v>
      </c>
      <c r="O107" s="18">
        <f t="shared" si="10"/>
        <v>495.9200227</v>
      </c>
    </row>
    <row r="108" ht="15.75" customHeight="1">
      <c r="A108" s="15"/>
      <c r="B108" s="37"/>
      <c r="C108" s="17"/>
      <c r="D108" s="17"/>
      <c r="E108" s="17"/>
      <c r="F108" s="17"/>
      <c r="G108" s="17"/>
      <c r="J108" s="15"/>
      <c r="K108" s="18">
        <f t="shared" si="6"/>
        <v>0</v>
      </c>
      <c r="L108" s="18">
        <f t="shared" si="7"/>
        <v>0</v>
      </c>
      <c r="M108" s="18">
        <f t="shared" si="8"/>
        <v>0</v>
      </c>
      <c r="N108" s="18">
        <f t="shared" si="9"/>
        <v>0</v>
      </c>
      <c r="O108" s="18">
        <f t="shared" si="10"/>
        <v>0</v>
      </c>
    </row>
    <row r="109" ht="15.75" customHeight="1">
      <c r="A109" s="15" t="s">
        <v>113</v>
      </c>
      <c r="B109" s="37"/>
      <c r="C109" s="26"/>
      <c r="D109" s="26"/>
      <c r="E109" s="26"/>
      <c r="F109" s="26"/>
      <c r="G109" s="26"/>
      <c r="J109" s="15" t="s">
        <v>113</v>
      </c>
      <c r="K109" s="18">
        <f t="shared" si="6"/>
        <v>0</v>
      </c>
      <c r="L109" s="18">
        <f t="shared" si="7"/>
        <v>0</v>
      </c>
      <c r="M109" s="18">
        <f t="shared" si="8"/>
        <v>0</v>
      </c>
      <c r="N109" s="18">
        <f t="shared" si="9"/>
        <v>0</v>
      </c>
      <c r="O109" s="18">
        <f t="shared" si="10"/>
        <v>0</v>
      </c>
    </row>
    <row r="110" ht="15.75" customHeight="1">
      <c r="A110" s="20" t="s">
        <v>114</v>
      </c>
      <c r="B110" s="40">
        <v>7479.4</v>
      </c>
      <c r="C110" s="18">
        <v>8623.3</v>
      </c>
      <c r="D110" s="18">
        <v>10121.3</v>
      </c>
      <c r="E110" s="18">
        <v>16536.9</v>
      </c>
      <c r="F110" s="18">
        <v>21600.3</v>
      </c>
      <c r="G110" s="18">
        <v>15624.9</v>
      </c>
      <c r="J110" s="20" t="s">
        <v>114</v>
      </c>
      <c r="K110" s="18">
        <f t="shared" si="6"/>
        <v>325.2479916</v>
      </c>
      <c r="L110" s="18">
        <f t="shared" si="7"/>
        <v>329.6518256</v>
      </c>
      <c r="M110" s="18">
        <f t="shared" si="8"/>
        <v>401.0306528</v>
      </c>
      <c r="N110" s="18">
        <f t="shared" si="9"/>
        <v>273.3142691</v>
      </c>
      <c r="O110" s="18">
        <f t="shared" si="10"/>
        <v>105.6150383</v>
      </c>
    </row>
    <row r="111" ht="15.75" customHeight="1">
      <c r="A111" s="20" t="s">
        <v>115</v>
      </c>
      <c r="B111" s="40">
        <v>6850.8</v>
      </c>
      <c r="C111" s="18">
        <v>6990.5</v>
      </c>
      <c r="D111" s="18">
        <v>7983.1</v>
      </c>
      <c r="E111" s="18">
        <v>13888.6</v>
      </c>
      <c r="F111" s="18">
        <v>19122.5</v>
      </c>
      <c r="G111" s="18">
        <v>14227.6</v>
      </c>
      <c r="J111" s="20" t="s">
        <v>115</v>
      </c>
      <c r="K111" s="18">
        <f t="shared" si="6"/>
        <v>263.6631087</v>
      </c>
      <c r="L111" s="18">
        <f t="shared" si="7"/>
        <v>260.0104224</v>
      </c>
      <c r="M111" s="18">
        <f t="shared" si="8"/>
        <v>336.8076438</v>
      </c>
      <c r="N111" s="18">
        <f t="shared" si="9"/>
        <v>241.9620149</v>
      </c>
      <c r="O111" s="18">
        <f t="shared" si="10"/>
        <v>96.17012072</v>
      </c>
    </row>
    <row r="112" ht="15.75" customHeight="1">
      <c r="A112" s="20" t="s">
        <v>116</v>
      </c>
      <c r="B112" s="40">
        <v>111.2</v>
      </c>
      <c r="C112" s="18">
        <v>166.0</v>
      </c>
      <c r="D112" s="18">
        <v>195.4</v>
      </c>
      <c r="E112" s="18">
        <v>961.1</v>
      </c>
      <c r="F112" s="18">
        <v>1268.8</v>
      </c>
      <c r="G112" s="18">
        <v>993.6</v>
      </c>
      <c r="J112" s="20" t="s">
        <v>116</v>
      </c>
      <c r="K112" s="18">
        <f t="shared" si="6"/>
        <v>6.26107947</v>
      </c>
      <c r="L112" s="18">
        <f t="shared" si="7"/>
        <v>6.364198938</v>
      </c>
      <c r="M112" s="18">
        <f t="shared" si="8"/>
        <v>23.3073043</v>
      </c>
      <c r="N112" s="18">
        <f t="shared" si="9"/>
        <v>16.05445964</v>
      </c>
      <c r="O112" s="18">
        <f t="shared" si="10"/>
        <v>6.716145516</v>
      </c>
    </row>
    <row r="113" ht="15.75" customHeight="1">
      <c r="A113" s="20" t="s">
        <v>117</v>
      </c>
      <c r="B113" s="40">
        <v>10.1</v>
      </c>
      <c r="C113" s="18">
        <v>7.2</v>
      </c>
      <c r="D113" s="18">
        <v>54.0</v>
      </c>
      <c r="E113" s="18">
        <v>66.6</v>
      </c>
      <c r="F113" s="18">
        <v>66.3</v>
      </c>
      <c r="G113" s="18" t="s">
        <v>26</v>
      </c>
      <c r="J113" s="20" t="s">
        <v>117</v>
      </c>
      <c r="K113" s="18">
        <f t="shared" si="6"/>
        <v>0.2715648927</v>
      </c>
      <c r="L113" s="18">
        <f t="shared" si="7"/>
        <v>1.758785786</v>
      </c>
      <c r="M113" s="18">
        <f t="shared" si="8"/>
        <v>1.615093608</v>
      </c>
      <c r="N113" s="18">
        <f t="shared" si="9"/>
        <v>0.8389113133</v>
      </c>
      <c r="O113" s="18" t="str">
        <f t="shared" si="10"/>
        <v/>
      </c>
    </row>
    <row r="114" ht="15.75" customHeight="1">
      <c r="A114" s="20" t="s">
        <v>118</v>
      </c>
      <c r="B114" s="40">
        <v>507.3</v>
      </c>
      <c r="C114" s="18">
        <v>1459.6</v>
      </c>
      <c r="D114" s="18">
        <v>1888.8</v>
      </c>
      <c r="E114" s="18">
        <v>1620.6</v>
      </c>
      <c r="F114" s="18">
        <v>1142.7</v>
      </c>
      <c r="G114" s="18">
        <v>403.7</v>
      </c>
      <c r="J114" s="20" t="s">
        <v>118</v>
      </c>
      <c r="K114" s="18">
        <f t="shared" si="6"/>
        <v>55.05223852</v>
      </c>
      <c r="L114" s="18">
        <f t="shared" si="7"/>
        <v>61.5184184</v>
      </c>
      <c r="M114" s="18">
        <f t="shared" si="8"/>
        <v>39.30061112</v>
      </c>
      <c r="N114" s="18">
        <f t="shared" si="9"/>
        <v>14.45888322</v>
      </c>
      <c r="O114" s="18">
        <f t="shared" si="10"/>
        <v>2.728772086</v>
      </c>
    </row>
    <row r="115" ht="15.75" customHeight="1">
      <c r="A115" s="20" t="s">
        <v>119</v>
      </c>
      <c r="B115" s="40">
        <v>2040.7</v>
      </c>
      <c r="C115" s="18">
        <v>1189.2</v>
      </c>
      <c r="D115" s="18">
        <v>5011.9</v>
      </c>
      <c r="E115" s="18">
        <v>8080.5</v>
      </c>
      <c r="F115" s="18">
        <v>7232.1</v>
      </c>
      <c r="G115" s="18">
        <v>4799.0</v>
      </c>
      <c r="J115" s="20" t="s">
        <v>119</v>
      </c>
      <c r="K115" s="18">
        <f t="shared" si="6"/>
        <v>44.85346811</v>
      </c>
      <c r="L115" s="18">
        <f t="shared" si="7"/>
        <v>163.2381201</v>
      </c>
      <c r="M115" s="18">
        <f t="shared" si="8"/>
        <v>195.9574159</v>
      </c>
      <c r="N115" s="18">
        <f t="shared" si="9"/>
        <v>91.50966077</v>
      </c>
      <c r="O115" s="18">
        <f t="shared" si="10"/>
        <v>32.43838802</v>
      </c>
    </row>
    <row r="116" ht="15.75" customHeight="1">
      <c r="A116" s="20" t="s">
        <v>120</v>
      </c>
      <c r="B116" s="40">
        <v>1120.6</v>
      </c>
      <c r="C116" s="18">
        <v>1189.2</v>
      </c>
      <c r="D116" s="18">
        <v>4395.1</v>
      </c>
      <c r="E116" s="18">
        <v>7477.9</v>
      </c>
      <c r="F116" s="18">
        <v>6226.0</v>
      </c>
      <c r="G116" s="18">
        <v>3851.8</v>
      </c>
      <c r="J116" s="20" t="s">
        <v>120</v>
      </c>
      <c r="K116" s="18">
        <f t="shared" si="6"/>
        <v>44.85346811</v>
      </c>
      <c r="L116" s="18">
        <f t="shared" si="7"/>
        <v>143.148878</v>
      </c>
      <c r="M116" s="18">
        <f t="shared" si="8"/>
        <v>181.3439713</v>
      </c>
      <c r="N116" s="18">
        <f t="shared" si="9"/>
        <v>78.77921322</v>
      </c>
      <c r="O116" s="18">
        <f t="shared" si="10"/>
        <v>26.03587893</v>
      </c>
    </row>
    <row r="117" ht="15.75" customHeight="1">
      <c r="A117" s="20" t="s">
        <v>121</v>
      </c>
      <c r="B117" s="40">
        <v>1.3</v>
      </c>
      <c r="C117" s="18">
        <v>0.0</v>
      </c>
      <c r="D117" s="18">
        <v>616.8</v>
      </c>
      <c r="E117" s="18">
        <v>602.6</v>
      </c>
      <c r="F117" s="18">
        <v>1006.1</v>
      </c>
      <c r="G117" s="18">
        <v>947.2</v>
      </c>
      <c r="J117" s="20" t="s">
        <v>121</v>
      </c>
      <c r="K117" s="18">
        <f t="shared" si="6"/>
        <v>0</v>
      </c>
      <c r="L117" s="18">
        <f t="shared" si="7"/>
        <v>20.08924209</v>
      </c>
      <c r="M117" s="18">
        <f t="shared" si="8"/>
        <v>14.61344456</v>
      </c>
      <c r="N117" s="18">
        <f t="shared" si="9"/>
        <v>12.73044755</v>
      </c>
      <c r="O117" s="18">
        <f t="shared" si="10"/>
        <v>6.402509091</v>
      </c>
    </row>
    <row r="118" ht="15.75" customHeight="1">
      <c r="A118" s="22" t="s">
        <v>122</v>
      </c>
      <c r="B118" s="46">
        <v>1.3</v>
      </c>
      <c r="C118" s="24">
        <v>0.0</v>
      </c>
      <c r="D118" s="24" t="s">
        <v>26</v>
      </c>
      <c r="E118" s="24" t="s">
        <v>26</v>
      </c>
      <c r="F118" s="24" t="s">
        <v>26</v>
      </c>
      <c r="G118" s="24" t="s">
        <v>26</v>
      </c>
      <c r="J118" s="22" t="s">
        <v>122</v>
      </c>
      <c r="K118" s="18">
        <f t="shared" si="6"/>
        <v>0</v>
      </c>
      <c r="L118" s="18" t="str">
        <f t="shared" si="7"/>
        <v/>
      </c>
      <c r="M118" s="18" t="str">
        <f t="shared" si="8"/>
        <v/>
      </c>
      <c r="N118" s="18" t="str">
        <f t="shared" si="9"/>
        <v/>
      </c>
      <c r="O118" s="18" t="str">
        <f t="shared" si="10"/>
        <v/>
      </c>
    </row>
    <row r="119" ht="15.75" customHeight="1">
      <c r="A119" s="20" t="s">
        <v>123</v>
      </c>
      <c r="B119" s="40">
        <v>918.8</v>
      </c>
      <c r="C119" s="18" t="s">
        <v>26</v>
      </c>
      <c r="D119" s="18" t="s">
        <v>26</v>
      </c>
      <c r="E119" s="18" t="s">
        <v>26</v>
      </c>
      <c r="F119" s="18" t="s">
        <v>26</v>
      </c>
      <c r="G119" s="18" t="s">
        <v>26</v>
      </c>
      <c r="J119" s="20" t="s">
        <v>123</v>
      </c>
      <c r="K119" s="18" t="str">
        <f t="shared" si="6"/>
        <v/>
      </c>
      <c r="L119" s="18" t="str">
        <f t="shared" si="7"/>
        <v/>
      </c>
      <c r="M119" s="18" t="str">
        <f t="shared" si="8"/>
        <v/>
      </c>
      <c r="N119" s="18" t="str">
        <f t="shared" si="9"/>
        <v/>
      </c>
      <c r="O119" s="18" t="str">
        <f t="shared" si="10"/>
        <v/>
      </c>
    </row>
    <row r="120" ht="15.75" customHeight="1">
      <c r="A120" s="20" t="s">
        <v>124</v>
      </c>
      <c r="B120" s="40">
        <v>1929.5</v>
      </c>
      <c r="C120" s="18">
        <v>4994.9</v>
      </c>
      <c r="D120" s="18">
        <v>6398.0</v>
      </c>
      <c r="E120" s="18">
        <v>12125.6</v>
      </c>
      <c r="F120" s="18">
        <v>17648.9</v>
      </c>
      <c r="G120" s="18">
        <v>13001.2</v>
      </c>
      <c r="J120" s="20" t="s">
        <v>124</v>
      </c>
      <c r="K120" s="18">
        <f t="shared" si="6"/>
        <v>188.3943726</v>
      </c>
      <c r="L120" s="18">
        <f t="shared" si="7"/>
        <v>208.3835456</v>
      </c>
      <c r="M120" s="18">
        <f t="shared" si="8"/>
        <v>294.0537395</v>
      </c>
      <c r="N120" s="18">
        <f t="shared" si="9"/>
        <v>223.3161671</v>
      </c>
      <c r="O120" s="18">
        <f t="shared" si="10"/>
        <v>87.88038556</v>
      </c>
    </row>
    <row r="121" ht="15.75" customHeight="1">
      <c r="A121" s="20" t="s">
        <v>125</v>
      </c>
      <c r="B121" s="40">
        <v>68.5</v>
      </c>
      <c r="C121" s="18">
        <v>0.0</v>
      </c>
      <c r="D121" s="18">
        <v>0.0</v>
      </c>
      <c r="E121" s="18">
        <v>4470.8</v>
      </c>
      <c r="F121" s="18">
        <v>9228.4</v>
      </c>
      <c r="G121" s="18">
        <v>5536.9</v>
      </c>
      <c r="J121" s="20" t="s">
        <v>125</v>
      </c>
      <c r="K121" s="18">
        <f t="shared" si="6"/>
        <v>0</v>
      </c>
      <c r="L121" s="18">
        <f t="shared" si="7"/>
        <v>0</v>
      </c>
      <c r="M121" s="18">
        <f t="shared" si="8"/>
        <v>108.4198273</v>
      </c>
      <c r="N121" s="18">
        <f t="shared" si="9"/>
        <v>116.769369</v>
      </c>
      <c r="O121" s="18">
        <f t="shared" si="10"/>
        <v>37.42615349</v>
      </c>
    </row>
    <row r="122" ht="15.75" customHeight="1">
      <c r="A122" s="20" t="s">
        <v>126</v>
      </c>
      <c r="B122" s="40">
        <v>7.8</v>
      </c>
      <c r="C122" s="18">
        <v>0.0</v>
      </c>
      <c r="D122" s="18">
        <v>0.0</v>
      </c>
      <c r="E122" s="18">
        <v>0.0</v>
      </c>
      <c r="F122" s="18">
        <v>0.0</v>
      </c>
      <c r="G122" s="18">
        <v>0.0</v>
      </c>
      <c r="J122" s="20" t="s">
        <v>126</v>
      </c>
      <c r="K122" s="18">
        <f t="shared" si="6"/>
        <v>0</v>
      </c>
      <c r="L122" s="18">
        <f t="shared" si="7"/>
        <v>0</v>
      </c>
      <c r="M122" s="18">
        <f t="shared" si="8"/>
        <v>0</v>
      </c>
      <c r="N122" s="18">
        <f t="shared" si="9"/>
        <v>0</v>
      </c>
      <c r="O122" s="18">
        <f t="shared" si="10"/>
        <v>0</v>
      </c>
    </row>
    <row r="123" ht="15.75" customHeight="1">
      <c r="A123" s="20" t="s">
        <v>127</v>
      </c>
      <c r="B123" s="40">
        <v>1853.2</v>
      </c>
      <c r="C123" s="18">
        <v>4994.9</v>
      </c>
      <c r="D123" s="18">
        <v>6398.0</v>
      </c>
      <c r="E123" s="18">
        <v>7654.8</v>
      </c>
      <c r="F123" s="18">
        <v>8420.5</v>
      </c>
      <c r="G123" s="18">
        <v>7464.3</v>
      </c>
      <c r="J123" s="20" t="s">
        <v>127</v>
      </c>
      <c r="K123" s="18">
        <f t="shared" si="6"/>
        <v>188.3943726</v>
      </c>
      <c r="L123" s="18">
        <f t="shared" si="7"/>
        <v>208.3835456</v>
      </c>
      <c r="M123" s="18">
        <f t="shared" si="8"/>
        <v>185.6339121</v>
      </c>
      <c r="N123" s="18">
        <f t="shared" si="9"/>
        <v>106.5467981</v>
      </c>
      <c r="O123" s="18">
        <f t="shared" si="10"/>
        <v>50.45423206</v>
      </c>
    </row>
    <row r="124" ht="15.75" customHeight="1">
      <c r="A124" s="15" t="s">
        <v>128</v>
      </c>
      <c r="B124" s="44">
        <v>11449.6</v>
      </c>
      <c r="C124" s="17">
        <v>14807.4</v>
      </c>
      <c r="D124" s="17">
        <v>21531.2</v>
      </c>
      <c r="E124" s="17">
        <v>36743.0</v>
      </c>
      <c r="F124" s="17">
        <v>46481.3</v>
      </c>
      <c r="G124" s="17">
        <v>33425.1</v>
      </c>
      <c r="J124" s="15" t="s">
        <v>128</v>
      </c>
      <c r="K124" s="18">
        <f t="shared" si="6"/>
        <v>558.4958322</v>
      </c>
      <c r="L124" s="18">
        <f t="shared" si="7"/>
        <v>701.2734912</v>
      </c>
      <c r="M124" s="18">
        <f t="shared" si="8"/>
        <v>891.0418081</v>
      </c>
      <c r="N124" s="18">
        <f t="shared" si="9"/>
        <v>588.1400969</v>
      </c>
      <c r="O124" s="18">
        <f t="shared" si="10"/>
        <v>225.9338119</v>
      </c>
    </row>
    <row r="125" ht="15.75" customHeight="1">
      <c r="A125" s="20" t="s">
        <v>129</v>
      </c>
      <c r="B125" s="40">
        <v>2700.6</v>
      </c>
      <c r="C125" s="18">
        <v>3781.2</v>
      </c>
      <c r="D125" s="18">
        <v>9404.1</v>
      </c>
      <c r="E125" s="18">
        <v>9681.2</v>
      </c>
      <c r="F125" s="18">
        <v>13490.5</v>
      </c>
      <c r="G125" s="18">
        <v>6996.0</v>
      </c>
      <c r="J125" s="20" t="s">
        <v>129</v>
      </c>
      <c r="K125" s="18">
        <f t="shared" si="6"/>
        <v>142.6168295</v>
      </c>
      <c r="L125" s="18">
        <f t="shared" si="7"/>
        <v>306.2925447</v>
      </c>
      <c r="M125" s="18">
        <f t="shared" si="8"/>
        <v>234.7754389</v>
      </c>
      <c r="N125" s="18">
        <f t="shared" si="9"/>
        <v>170.6988397</v>
      </c>
      <c r="O125" s="18">
        <f t="shared" si="10"/>
        <v>47.28880237</v>
      </c>
    </row>
    <row r="126" ht="15.75" customHeight="1">
      <c r="A126" s="20" t="s">
        <v>130</v>
      </c>
      <c r="B126" s="40">
        <v>2700.6</v>
      </c>
      <c r="C126" s="18">
        <v>3781.2</v>
      </c>
      <c r="D126" s="18">
        <v>7966.7</v>
      </c>
      <c r="E126" s="18">
        <v>7166.9</v>
      </c>
      <c r="F126" s="18">
        <v>9802.3</v>
      </c>
      <c r="G126" s="18">
        <v>3199.8</v>
      </c>
      <c r="J126" s="20" t="s">
        <v>130</v>
      </c>
      <c r="K126" s="18">
        <f t="shared" si="6"/>
        <v>142.6168295</v>
      </c>
      <c r="L126" s="18">
        <f t="shared" si="7"/>
        <v>259.4762727</v>
      </c>
      <c r="M126" s="18">
        <f t="shared" si="8"/>
        <v>173.8020177</v>
      </c>
      <c r="N126" s="18">
        <f t="shared" si="9"/>
        <v>124.0310764</v>
      </c>
      <c r="O126" s="18">
        <f t="shared" si="10"/>
        <v>21.6287464</v>
      </c>
    </row>
    <row r="127" ht="15.75" customHeight="1">
      <c r="A127" s="20" t="s">
        <v>131</v>
      </c>
      <c r="B127" s="40">
        <v>0.0</v>
      </c>
      <c r="C127" s="18">
        <v>0.0</v>
      </c>
      <c r="D127" s="18">
        <v>1437.4</v>
      </c>
      <c r="E127" s="18">
        <v>2514.3</v>
      </c>
      <c r="F127" s="18">
        <v>3688.2</v>
      </c>
      <c r="G127" s="18">
        <v>3796.2</v>
      </c>
      <c r="J127" s="20" t="s">
        <v>131</v>
      </c>
      <c r="K127" s="18">
        <f t="shared" si="6"/>
        <v>0</v>
      </c>
      <c r="L127" s="18">
        <f t="shared" si="7"/>
        <v>46.81627203</v>
      </c>
      <c r="M127" s="18">
        <f t="shared" si="8"/>
        <v>60.97342128</v>
      </c>
      <c r="N127" s="18">
        <f t="shared" si="9"/>
        <v>46.66776328</v>
      </c>
      <c r="O127" s="18">
        <f t="shared" si="10"/>
        <v>25.66005597</v>
      </c>
    </row>
    <row r="128" ht="15.75" customHeight="1">
      <c r="A128" s="22" t="s">
        <v>132</v>
      </c>
      <c r="B128" s="46">
        <v>0.0</v>
      </c>
      <c r="C128" s="24">
        <v>0.0</v>
      </c>
      <c r="D128" s="24" t="s">
        <v>26</v>
      </c>
      <c r="E128" s="24" t="s">
        <v>26</v>
      </c>
      <c r="F128" s="24" t="s">
        <v>26</v>
      </c>
      <c r="G128" s="24" t="s">
        <v>26</v>
      </c>
      <c r="J128" s="22" t="s">
        <v>132</v>
      </c>
      <c r="K128" s="18">
        <f t="shared" si="6"/>
        <v>0</v>
      </c>
      <c r="L128" s="18" t="str">
        <f t="shared" si="7"/>
        <v/>
      </c>
      <c r="M128" s="18" t="str">
        <f t="shared" si="8"/>
        <v/>
      </c>
      <c r="N128" s="18" t="str">
        <f t="shared" si="9"/>
        <v/>
      </c>
      <c r="O128" s="18" t="str">
        <f t="shared" si="10"/>
        <v/>
      </c>
    </row>
    <row r="129" ht="15.75" customHeight="1">
      <c r="A129" s="20" t="s">
        <v>133</v>
      </c>
      <c r="B129" s="40">
        <v>126.4</v>
      </c>
      <c r="C129" s="18">
        <v>374.9</v>
      </c>
      <c r="D129" s="18">
        <v>478.4</v>
      </c>
      <c r="E129" s="18">
        <v>2028.8</v>
      </c>
      <c r="F129" s="18">
        <v>2275.0</v>
      </c>
      <c r="G129" s="18">
        <v>1804.1</v>
      </c>
      <c r="J129" s="20" t="s">
        <v>133</v>
      </c>
      <c r="K129" s="18">
        <f t="shared" si="6"/>
        <v>14.14023309</v>
      </c>
      <c r="L129" s="18">
        <f t="shared" si="7"/>
        <v>15.58153926</v>
      </c>
      <c r="M129" s="18">
        <f t="shared" si="8"/>
        <v>49.19972839</v>
      </c>
      <c r="N129" s="18">
        <f t="shared" si="9"/>
        <v>28.78617251</v>
      </c>
      <c r="O129" s="18">
        <f t="shared" si="10"/>
        <v>12.19464385</v>
      </c>
    </row>
    <row r="130" ht="15.75" customHeight="1">
      <c r="A130" s="20" t="s">
        <v>134</v>
      </c>
      <c r="B130" s="40">
        <v>0.0</v>
      </c>
      <c r="C130" s="18">
        <v>0.0</v>
      </c>
      <c r="D130" s="18">
        <v>0.0</v>
      </c>
      <c r="E130" s="18">
        <v>0.0</v>
      </c>
      <c r="F130" s="18">
        <v>0.0</v>
      </c>
      <c r="G130" s="18">
        <v>0.0</v>
      </c>
      <c r="J130" s="20" t="s">
        <v>134</v>
      </c>
      <c r="K130" s="18">
        <f t="shared" si="6"/>
        <v>0</v>
      </c>
      <c r="L130" s="18">
        <f t="shared" si="7"/>
        <v>0</v>
      </c>
      <c r="M130" s="18">
        <f t="shared" si="8"/>
        <v>0</v>
      </c>
      <c r="N130" s="18">
        <f t="shared" si="9"/>
        <v>0</v>
      </c>
      <c r="O130" s="18">
        <f t="shared" si="10"/>
        <v>0</v>
      </c>
    </row>
    <row r="131" ht="15.75" customHeight="1">
      <c r="A131" s="20" t="s">
        <v>135</v>
      </c>
      <c r="B131" s="40">
        <v>4.5</v>
      </c>
      <c r="C131" s="18">
        <v>7.3</v>
      </c>
      <c r="D131" s="18">
        <v>7.1</v>
      </c>
      <c r="E131" s="18">
        <v>122.9</v>
      </c>
      <c r="F131" s="18">
        <v>205.9</v>
      </c>
      <c r="G131" s="18">
        <v>213.6</v>
      </c>
      <c r="J131" s="20" t="s">
        <v>135</v>
      </c>
      <c r="K131" s="18">
        <f t="shared" si="6"/>
        <v>0.2753366273</v>
      </c>
      <c r="L131" s="18">
        <f t="shared" si="7"/>
        <v>0.2312477608</v>
      </c>
      <c r="M131" s="18">
        <f t="shared" si="8"/>
        <v>2.980405471</v>
      </c>
      <c r="N131" s="18">
        <f t="shared" si="9"/>
        <v>2.605306778</v>
      </c>
      <c r="O131" s="18">
        <f t="shared" si="10"/>
        <v>1.44380906</v>
      </c>
    </row>
    <row r="132" ht="15.75" customHeight="1">
      <c r="A132" s="20" t="s">
        <v>136</v>
      </c>
      <c r="B132" s="40" t="s">
        <v>26</v>
      </c>
      <c r="C132" s="18" t="s">
        <v>26</v>
      </c>
      <c r="D132" s="18" t="s">
        <v>26</v>
      </c>
      <c r="E132" s="18" t="s">
        <v>26</v>
      </c>
      <c r="F132" s="18" t="s">
        <v>26</v>
      </c>
      <c r="G132" s="18" t="s">
        <v>26</v>
      </c>
      <c r="J132" s="20" t="s">
        <v>136</v>
      </c>
      <c r="K132" s="18" t="str">
        <f t="shared" si="6"/>
        <v/>
      </c>
      <c r="L132" s="18" t="str">
        <f t="shared" si="7"/>
        <v/>
      </c>
      <c r="M132" s="18" t="str">
        <f t="shared" si="8"/>
        <v/>
      </c>
      <c r="N132" s="18" t="str">
        <f t="shared" si="9"/>
        <v/>
      </c>
      <c r="O132" s="18" t="str">
        <f t="shared" si="10"/>
        <v/>
      </c>
    </row>
    <row r="133" ht="15.75" customHeight="1">
      <c r="A133" s="20" t="s">
        <v>125</v>
      </c>
      <c r="B133" s="40">
        <v>0.0</v>
      </c>
      <c r="C133" s="18">
        <v>0.0</v>
      </c>
      <c r="D133" s="18">
        <v>0.0</v>
      </c>
      <c r="E133" s="18">
        <v>0.0</v>
      </c>
      <c r="F133" s="18">
        <v>0.0</v>
      </c>
      <c r="G133" s="18">
        <v>0.0</v>
      </c>
      <c r="J133" s="20" t="s">
        <v>125</v>
      </c>
      <c r="K133" s="18">
        <f t="shared" si="6"/>
        <v>0</v>
      </c>
      <c r="L133" s="18">
        <f t="shared" si="7"/>
        <v>0</v>
      </c>
      <c r="M133" s="18">
        <f t="shared" si="8"/>
        <v>0</v>
      </c>
      <c r="N133" s="18">
        <f t="shared" si="9"/>
        <v>0</v>
      </c>
      <c r="O133" s="18">
        <f t="shared" si="10"/>
        <v>0</v>
      </c>
    </row>
    <row r="134" ht="15.75" customHeight="1">
      <c r="A134" s="20" t="s">
        <v>137</v>
      </c>
      <c r="B134" s="40">
        <v>43.1</v>
      </c>
      <c r="C134" s="18">
        <v>14.6</v>
      </c>
      <c r="D134" s="18">
        <v>127.4</v>
      </c>
      <c r="E134" s="18">
        <v>1470.8</v>
      </c>
      <c r="F134" s="18">
        <v>1683.2</v>
      </c>
      <c r="G134" s="18">
        <v>1553.6</v>
      </c>
      <c r="J134" s="20" t="s">
        <v>137</v>
      </c>
      <c r="K134" s="18">
        <f t="shared" si="6"/>
        <v>0.5506732546</v>
      </c>
      <c r="L134" s="18">
        <f t="shared" si="7"/>
        <v>4.149431652</v>
      </c>
      <c r="M134" s="18">
        <f t="shared" si="8"/>
        <v>35.66786303</v>
      </c>
      <c r="N134" s="18">
        <f t="shared" si="9"/>
        <v>21.29797168</v>
      </c>
      <c r="O134" s="18">
        <f t="shared" si="10"/>
        <v>10.50141272</v>
      </c>
    </row>
    <row r="135" ht="15.75" customHeight="1">
      <c r="A135" s="20" t="s">
        <v>126</v>
      </c>
      <c r="B135" s="40" t="s">
        <v>26</v>
      </c>
      <c r="C135" s="18" t="s">
        <v>26</v>
      </c>
      <c r="D135" s="18" t="s">
        <v>26</v>
      </c>
      <c r="E135" s="18">
        <v>0.0</v>
      </c>
      <c r="F135" s="18">
        <v>0.0</v>
      </c>
      <c r="G135" s="18">
        <v>0.0</v>
      </c>
      <c r="J135" s="20" t="s">
        <v>126</v>
      </c>
      <c r="K135" s="18" t="str">
        <f t="shared" si="6"/>
        <v/>
      </c>
      <c r="L135" s="18" t="str">
        <f t="shared" si="7"/>
        <v/>
      </c>
      <c r="M135" s="18">
        <f t="shared" si="8"/>
        <v>0</v>
      </c>
      <c r="N135" s="18">
        <f t="shared" si="9"/>
        <v>0</v>
      </c>
      <c r="O135" s="18">
        <f t="shared" si="10"/>
        <v>0</v>
      </c>
    </row>
    <row r="136" ht="15.75" customHeight="1">
      <c r="A136" s="20" t="s">
        <v>138</v>
      </c>
      <c r="B136" s="40">
        <v>78.8</v>
      </c>
      <c r="C136" s="18">
        <v>353.0</v>
      </c>
      <c r="D136" s="18">
        <v>343.9</v>
      </c>
      <c r="E136" s="18">
        <v>435.1</v>
      </c>
      <c r="F136" s="18">
        <v>385.9</v>
      </c>
      <c r="G136" s="18">
        <v>36.9</v>
      </c>
      <c r="J136" s="20" t="s">
        <v>138</v>
      </c>
      <c r="K136" s="18">
        <f t="shared" si="6"/>
        <v>13.31422321</v>
      </c>
      <c r="L136" s="18">
        <f t="shared" si="7"/>
        <v>11.20085985</v>
      </c>
      <c r="M136" s="18">
        <f t="shared" si="8"/>
        <v>10.55145989</v>
      </c>
      <c r="N136" s="18">
        <f t="shared" si="9"/>
        <v>4.882894054</v>
      </c>
      <c r="O136" s="18">
        <f t="shared" si="10"/>
        <v>0.2494220708</v>
      </c>
    </row>
    <row r="137" ht="15.75" customHeight="1">
      <c r="A137" s="15" t="s">
        <v>139</v>
      </c>
      <c r="B137" s="44">
        <v>2827.0</v>
      </c>
      <c r="C137" s="17">
        <v>4156.1</v>
      </c>
      <c r="D137" s="17">
        <v>9882.5</v>
      </c>
      <c r="E137" s="17">
        <v>11710.0</v>
      </c>
      <c r="F137" s="17">
        <v>15765.5</v>
      </c>
      <c r="G137" s="17">
        <v>8800.1</v>
      </c>
      <c r="J137" s="15" t="s">
        <v>139</v>
      </c>
      <c r="K137" s="18">
        <f t="shared" si="6"/>
        <v>156.7570626</v>
      </c>
      <c r="L137" s="18">
        <f t="shared" si="7"/>
        <v>321.874084</v>
      </c>
      <c r="M137" s="18">
        <f t="shared" si="8"/>
        <v>283.9751673</v>
      </c>
      <c r="N137" s="18">
        <f t="shared" si="9"/>
        <v>199.4850122</v>
      </c>
      <c r="O137" s="18">
        <f t="shared" si="10"/>
        <v>59.48344622</v>
      </c>
    </row>
    <row r="138" ht="15.75" customHeight="1">
      <c r="A138" s="15" t="s">
        <v>140</v>
      </c>
      <c r="B138" s="44">
        <v>14276.6</v>
      </c>
      <c r="C138" s="17">
        <v>18963.5</v>
      </c>
      <c r="D138" s="17">
        <v>31413.7</v>
      </c>
      <c r="E138" s="17">
        <v>48453.0</v>
      </c>
      <c r="F138" s="17">
        <v>62246.8</v>
      </c>
      <c r="G138" s="17">
        <v>42225.2</v>
      </c>
      <c r="J138" s="15" t="s">
        <v>140</v>
      </c>
      <c r="K138" s="18">
        <f t="shared" si="6"/>
        <v>715.2528948</v>
      </c>
      <c r="L138" s="18">
        <f t="shared" si="7"/>
        <v>1023.147575</v>
      </c>
      <c r="M138" s="18">
        <f t="shared" si="8"/>
        <v>1175.016975</v>
      </c>
      <c r="N138" s="18">
        <f t="shared" si="9"/>
        <v>787.6251091</v>
      </c>
      <c r="O138" s="18">
        <f t="shared" si="10"/>
        <v>285.4172581</v>
      </c>
    </row>
    <row r="139" ht="15.75" customHeight="1">
      <c r="A139" s="20" t="s">
        <v>141</v>
      </c>
      <c r="B139" s="40">
        <v>0.0</v>
      </c>
      <c r="C139" s="18">
        <v>0.0</v>
      </c>
      <c r="D139" s="18">
        <v>0.0</v>
      </c>
      <c r="E139" s="18">
        <v>0.0</v>
      </c>
      <c r="F139" s="18">
        <v>0.0</v>
      </c>
      <c r="G139" s="18">
        <v>0.0</v>
      </c>
      <c r="J139" s="20" t="s">
        <v>141</v>
      </c>
      <c r="K139" s="18">
        <f t="shared" si="6"/>
        <v>0</v>
      </c>
      <c r="L139" s="18">
        <f t="shared" si="7"/>
        <v>0</v>
      </c>
      <c r="M139" s="18">
        <f t="shared" si="8"/>
        <v>0</v>
      </c>
      <c r="N139" s="18">
        <f t="shared" si="9"/>
        <v>0</v>
      </c>
      <c r="O139" s="18">
        <f t="shared" si="10"/>
        <v>0</v>
      </c>
    </row>
    <row r="140" ht="15.75" customHeight="1">
      <c r="A140" s="20" t="s">
        <v>142</v>
      </c>
      <c r="B140" s="40">
        <v>3787.7</v>
      </c>
      <c r="C140" s="18">
        <v>3782.1</v>
      </c>
      <c r="D140" s="18">
        <v>3782.1</v>
      </c>
      <c r="E140" s="18">
        <v>3782.1</v>
      </c>
      <c r="F140" s="18">
        <v>3782.1</v>
      </c>
      <c r="G140" s="18">
        <v>491.4</v>
      </c>
      <c r="J140" s="20" t="s">
        <v>142</v>
      </c>
      <c r="K140" s="18">
        <f t="shared" si="6"/>
        <v>142.6507751</v>
      </c>
      <c r="L140" s="18">
        <f t="shared" si="7"/>
        <v>123.1834023</v>
      </c>
      <c r="M140" s="18">
        <f t="shared" si="8"/>
        <v>91.7184014</v>
      </c>
      <c r="N140" s="18">
        <f t="shared" si="9"/>
        <v>47.85590465</v>
      </c>
      <c r="O140" s="18">
        <f t="shared" si="10"/>
        <v>3.321571967</v>
      </c>
    </row>
    <row r="141" ht="15.75" customHeight="1">
      <c r="A141" s="20" t="s">
        <v>143</v>
      </c>
      <c r="B141" s="40">
        <v>491.4</v>
      </c>
      <c r="C141" s="18">
        <v>491.4</v>
      </c>
      <c r="D141" s="18">
        <v>491.4</v>
      </c>
      <c r="E141" s="18">
        <v>491.4</v>
      </c>
      <c r="F141" s="18">
        <v>491.4</v>
      </c>
      <c r="G141" s="18">
        <v>491.4</v>
      </c>
      <c r="J141" s="20" t="s">
        <v>143</v>
      </c>
      <c r="K141" s="18">
        <f t="shared" si="6"/>
        <v>18.53430393</v>
      </c>
      <c r="L141" s="18">
        <f t="shared" si="7"/>
        <v>16.00495066</v>
      </c>
      <c r="M141" s="18">
        <f t="shared" si="8"/>
        <v>11.91677175</v>
      </c>
      <c r="N141" s="18">
        <f t="shared" si="9"/>
        <v>6.217813263</v>
      </c>
      <c r="O141" s="18">
        <f t="shared" si="10"/>
        <v>3.321571967</v>
      </c>
    </row>
    <row r="142" ht="15.75" customHeight="1">
      <c r="A142" s="20" t="s">
        <v>144</v>
      </c>
      <c r="B142" s="40">
        <v>3296.3</v>
      </c>
      <c r="C142" s="18">
        <v>3290.7</v>
      </c>
      <c r="D142" s="18">
        <v>3290.7</v>
      </c>
      <c r="E142" s="18">
        <v>3290.7</v>
      </c>
      <c r="F142" s="18">
        <v>3290.7</v>
      </c>
      <c r="G142" s="18">
        <v>0.0</v>
      </c>
      <c r="J142" s="20" t="s">
        <v>144</v>
      </c>
      <c r="K142" s="18">
        <f t="shared" si="6"/>
        <v>124.1164712</v>
      </c>
      <c r="L142" s="18">
        <f t="shared" si="7"/>
        <v>107.1784516</v>
      </c>
      <c r="M142" s="18">
        <f t="shared" si="8"/>
        <v>79.80162964</v>
      </c>
      <c r="N142" s="18">
        <f t="shared" si="9"/>
        <v>41.63809138</v>
      </c>
      <c r="O142" s="18">
        <f t="shared" si="10"/>
        <v>0</v>
      </c>
    </row>
    <row r="143" ht="15.75" customHeight="1">
      <c r="A143" s="20" t="s">
        <v>145</v>
      </c>
      <c r="B143" s="40">
        <v>0.0</v>
      </c>
      <c r="C143" s="18">
        <v>0.0</v>
      </c>
      <c r="D143" s="18">
        <v>0.0</v>
      </c>
      <c r="E143" s="18">
        <v>0.0</v>
      </c>
      <c r="F143" s="18">
        <v>0.0</v>
      </c>
      <c r="G143" s="18">
        <v>0.0</v>
      </c>
      <c r="J143" s="20" t="s">
        <v>145</v>
      </c>
      <c r="K143" s="18">
        <f t="shared" si="6"/>
        <v>0</v>
      </c>
      <c r="L143" s="18">
        <f t="shared" si="7"/>
        <v>0</v>
      </c>
      <c r="M143" s="18">
        <f t="shared" si="8"/>
        <v>0</v>
      </c>
      <c r="N143" s="18">
        <f t="shared" si="9"/>
        <v>0</v>
      </c>
      <c r="O143" s="18">
        <f t="shared" si="10"/>
        <v>0</v>
      </c>
    </row>
    <row r="144" ht="15.75" customHeight="1">
      <c r="A144" s="20" t="s">
        <v>146</v>
      </c>
      <c r="B144" s="40">
        <v>14178.8</v>
      </c>
      <c r="C144" s="18">
        <v>14655.2</v>
      </c>
      <c r="D144" s="18">
        <v>15780.9</v>
      </c>
      <c r="E144" s="18">
        <v>16979.9</v>
      </c>
      <c r="F144" s="18">
        <v>25558.6</v>
      </c>
      <c r="G144" s="18">
        <v>24536.9</v>
      </c>
      <c r="J144" s="20" t="s">
        <v>146</v>
      </c>
      <c r="K144" s="18">
        <f t="shared" si="6"/>
        <v>552.7552521</v>
      </c>
      <c r="L144" s="18">
        <f t="shared" si="7"/>
        <v>513.985604</v>
      </c>
      <c r="M144" s="18">
        <f t="shared" si="8"/>
        <v>411.7736929</v>
      </c>
      <c r="N144" s="18">
        <f t="shared" si="9"/>
        <v>323.3996786</v>
      </c>
      <c r="O144" s="18">
        <f t="shared" si="10"/>
        <v>165.854862</v>
      </c>
    </row>
    <row r="145" ht="15.75" customHeight="1">
      <c r="A145" s="20" t="s">
        <v>147</v>
      </c>
      <c r="B145" s="40">
        <v>1677.3</v>
      </c>
      <c r="C145" s="18">
        <v>1550.5</v>
      </c>
      <c r="D145" s="18">
        <v>1894.0</v>
      </c>
      <c r="E145" s="18">
        <v>2073.4</v>
      </c>
      <c r="F145" s="18">
        <v>2276.9</v>
      </c>
      <c r="G145" s="18">
        <v>3113.9</v>
      </c>
      <c r="J145" s="20" t="s">
        <v>147</v>
      </c>
      <c r="K145" s="18">
        <f t="shared" si="6"/>
        <v>58.48074529</v>
      </c>
      <c r="L145" s="18">
        <f t="shared" si="7"/>
        <v>61.68778295</v>
      </c>
      <c r="M145" s="18">
        <f t="shared" si="8"/>
        <v>50.2813076</v>
      </c>
      <c r="N145" s="18">
        <f t="shared" si="9"/>
        <v>28.81021371</v>
      </c>
      <c r="O145" s="18">
        <f t="shared" si="10"/>
        <v>21.04811345</v>
      </c>
    </row>
    <row r="146" ht="15.75" customHeight="1">
      <c r="A146" s="15" t="s">
        <v>148</v>
      </c>
      <c r="B146" s="44">
        <v>19643.8</v>
      </c>
      <c r="C146" s="17">
        <v>19987.8</v>
      </c>
      <c r="D146" s="17">
        <v>21457.0</v>
      </c>
      <c r="E146" s="17">
        <v>22835.4</v>
      </c>
      <c r="F146" s="17">
        <v>31617.6</v>
      </c>
      <c r="G146" s="17">
        <v>28142.2</v>
      </c>
      <c r="J146" s="15" t="s">
        <v>148</v>
      </c>
      <c r="K146" s="18">
        <f t="shared" si="6"/>
        <v>753.8867725</v>
      </c>
      <c r="L146" s="18">
        <f t="shared" si="7"/>
        <v>698.8567892</v>
      </c>
      <c r="M146" s="18">
        <f t="shared" si="8"/>
        <v>553.7734019</v>
      </c>
      <c r="N146" s="18">
        <f t="shared" si="9"/>
        <v>400.065797</v>
      </c>
      <c r="O146" s="18">
        <f t="shared" si="10"/>
        <v>190.2245475</v>
      </c>
    </row>
    <row r="147" ht="15.75" customHeight="1">
      <c r="A147" s="20" t="s">
        <v>149</v>
      </c>
      <c r="B147" s="40">
        <v>171.7</v>
      </c>
      <c r="C147" s="18">
        <v>207.0</v>
      </c>
      <c r="D147" s="18">
        <v>266.1</v>
      </c>
      <c r="E147" s="18">
        <v>3313.7</v>
      </c>
      <c r="F147" s="18">
        <v>3836.6</v>
      </c>
      <c r="G147" s="18">
        <v>3000.0</v>
      </c>
      <c r="J147" s="20" t="s">
        <v>149</v>
      </c>
      <c r="K147" s="18">
        <f t="shared" si="6"/>
        <v>7.807490665</v>
      </c>
      <c r="L147" s="18">
        <f t="shared" si="7"/>
        <v>8.666905514</v>
      </c>
      <c r="M147" s="18">
        <f t="shared" si="8"/>
        <v>80.3593947</v>
      </c>
      <c r="N147" s="18">
        <f t="shared" si="9"/>
        <v>48.54550746</v>
      </c>
      <c r="O147" s="18">
        <f t="shared" si="10"/>
        <v>20.27821714</v>
      </c>
    </row>
    <row r="148" ht="15.75" customHeight="1">
      <c r="A148" s="15" t="s">
        <v>150</v>
      </c>
      <c r="B148" s="44">
        <v>19815.5</v>
      </c>
      <c r="C148" s="17">
        <v>20194.8</v>
      </c>
      <c r="D148" s="17">
        <v>21723.1</v>
      </c>
      <c r="E148" s="17">
        <v>26149.1</v>
      </c>
      <c r="F148" s="17">
        <v>35454.2</v>
      </c>
      <c r="G148" s="17">
        <v>31142.2</v>
      </c>
      <c r="J148" s="15" t="s">
        <v>150</v>
      </c>
      <c r="K148" s="18">
        <f t="shared" si="6"/>
        <v>761.6942632</v>
      </c>
      <c r="L148" s="18">
        <f t="shared" si="7"/>
        <v>707.5236948</v>
      </c>
      <c r="M148" s="18">
        <f t="shared" si="8"/>
        <v>634.1327966</v>
      </c>
      <c r="N148" s="18">
        <f t="shared" si="9"/>
        <v>448.6113044</v>
      </c>
      <c r="O148" s="18">
        <f t="shared" si="10"/>
        <v>210.5027646</v>
      </c>
    </row>
    <row r="149" ht="15.75" customHeight="1">
      <c r="A149" s="15" t="s">
        <v>151</v>
      </c>
      <c r="B149" s="44">
        <v>34092.1</v>
      </c>
      <c r="C149" s="17">
        <v>39158.3</v>
      </c>
      <c r="D149" s="17">
        <v>53136.8</v>
      </c>
      <c r="E149" s="17">
        <v>74602.1</v>
      </c>
      <c r="F149" s="17">
        <v>97701.0</v>
      </c>
      <c r="G149" s="17">
        <v>73367.4</v>
      </c>
      <c r="J149" s="30" t="s">
        <v>151</v>
      </c>
      <c r="K149" s="18">
        <f t="shared" si="6"/>
        <v>1476.947158</v>
      </c>
      <c r="L149" s="18">
        <f t="shared" si="7"/>
        <v>1730.67127</v>
      </c>
      <c r="M149" s="18">
        <f t="shared" si="8"/>
        <v>1809.149772</v>
      </c>
      <c r="N149" s="18">
        <f t="shared" si="9"/>
        <v>1236.236414</v>
      </c>
      <c r="O149" s="18">
        <f t="shared" si="10"/>
        <v>495.9200227</v>
      </c>
    </row>
    <row r="150" ht="15.75" customHeight="1">
      <c r="A150" s="30"/>
      <c r="B150" s="49"/>
      <c r="C150" s="50"/>
      <c r="D150" s="50"/>
      <c r="E150" s="50"/>
      <c r="F150" s="50"/>
      <c r="G150" s="50"/>
    </row>
    <row r="151" ht="15.75" customHeight="1">
      <c r="A151" s="52"/>
      <c r="B151" s="53"/>
      <c r="C151" s="53"/>
      <c r="D151" s="53"/>
      <c r="E151" s="53"/>
      <c r="F151" s="53"/>
      <c r="G151" s="53"/>
    </row>
    <row r="152" ht="15.75" customHeight="1">
      <c r="A152" s="55" t="s">
        <v>152</v>
      </c>
      <c r="B152" s="56"/>
      <c r="C152" s="56"/>
      <c r="D152" s="56"/>
      <c r="E152" s="56"/>
      <c r="F152" s="56"/>
      <c r="G152" s="57"/>
    </row>
    <row r="153" ht="15.75" customHeight="1">
      <c r="A153" s="59" t="s">
        <v>153</v>
      </c>
      <c r="B153" s="60" t="s">
        <v>154</v>
      </c>
      <c r="C153" s="60" t="s">
        <v>154</v>
      </c>
      <c r="D153" s="60" t="s">
        <v>154</v>
      </c>
      <c r="E153" s="60" t="s">
        <v>154</v>
      </c>
      <c r="F153" s="60" t="s">
        <v>154</v>
      </c>
      <c r="G153" s="61"/>
    </row>
    <row r="154" ht="15.75" customHeight="1">
      <c r="A154" s="59" t="s">
        <v>155</v>
      </c>
      <c r="B154" s="62">
        <v>4485.1</v>
      </c>
      <c r="C154" s="62">
        <v>5089.3</v>
      </c>
      <c r="D154" s="62">
        <v>7335.3</v>
      </c>
      <c r="E154" s="62">
        <v>14476.2</v>
      </c>
      <c r="F154" s="62">
        <v>11967.9</v>
      </c>
      <c r="G154" s="61"/>
    </row>
    <row r="155" ht="15.75" customHeight="1">
      <c r="A155" s="59" t="s">
        <v>156</v>
      </c>
      <c r="B155" s="63">
        <v>6.5177</v>
      </c>
      <c r="C155" s="63">
        <v>6.9349</v>
      </c>
      <c r="D155" s="63">
        <v>6.9937</v>
      </c>
      <c r="E155" s="63">
        <v>7.5942</v>
      </c>
      <c r="F155" s="63">
        <v>6.6301</v>
      </c>
      <c r="G155" s="61"/>
    </row>
    <row r="156" ht="15.75" customHeight="1">
      <c r="A156" s="59" t="s">
        <v>157</v>
      </c>
      <c r="B156" s="62">
        <v>3222.2</v>
      </c>
      <c r="C156" s="62">
        <v>3223.2</v>
      </c>
      <c r="D156" s="62">
        <v>5062.6</v>
      </c>
      <c r="E156" s="62">
        <v>14083.3</v>
      </c>
      <c r="F156" s="62">
        <v>11537.3</v>
      </c>
      <c r="G156" s="61"/>
    </row>
    <row r="157" ht="15.75" customHeight="1">
      <c r="A157" s="59" t="s">
        <v>158</v>
      </c>
      <c r="B157" s="62">
        <v>2925.8</v>
      </c>
      <c r="C157" s="62">
        <v>2773.2</v>
      </c>
      <c r="D157" s="62">
        <v>4274.4</v>
      </c>
      <c r="E157" s="62">
        <v>11042.6</v>
      </c>
      <c r="F157" s="62">
        <v>9187.8</v>
      </c>
      <c r="G157" s="61"/>
    </row>
    <row r="158" ht="15.75" customHeight="1">
      <c r="A158" s="59" t="s">
        <v>159</v>
      </c>
      <c r="B158" s="63">
        <v>4.2517</v>
      </c>
      <c r="C158" s="63">
        <v>3.7789</v>
      </c>
      <c r="D158" s="63">
        <v>4.0753</v>
      </c>
      <c r="E158" s="63">
        <v>5.793</v>
      </c>
      <c r="F158" s="63">
        <v>5.09</v>
      </c>
      <c r="G158" s="64"/>
    </row>
    <row r="159" ht="15.75" customHeight="1">
      <c r="A159" s="59" t="s">
        <v>160</v>
      </c>
      <c r="B159" s="63">
        <v>3.3179</v>
      </c>
      <c r="C159" s="63">
        <v>2.9146</v>
      </c>
      <c r="D159" s="63">
        <v>1.5787</v>
      </c>
      <c r="E159" s="63">
        <v>4.2568</v>
      </c>
      <c r="F159" s="63">
        <v>3.6258</v>
      </c>
      <c r="G159" s="64"/>
    </row>
    <row r="160" ht="15.75" customHeight="1">
      <c r="A160" s="59" t="s">
        <v>161</v>
      </c>
      <c r="B160" s="63">
        <v>1.7203525E7</v>
      </c>
      <c r="C160" s="63">
        <v>2.20315220654E7</v>
      </c>
      <c r="D160" s="63">
        <v>1.125370171674E8</v>
      </c>
      <c r="E160" s="63">
        <v>1.987702815433E8</v>
      </c>
      <c r="F160" s="63">
        <v>2.442594046008E8</v>
      </c>
      <c r="G160" s="61"/>
    </row>
    <row r="161" ht="15.75" customHeight="1">
      <c r="A161" s="59" t="s">
        <v>162</v>
      </c>
      <c r="B161" s="63">
        <v>5.5</v>
      </c>
      <c r="C161" s="63">
        <v>3.0</v>
      </c>
      <c r="D161" s="63">
        <v>2.0</v>
      </c>
      <c r="E161" s="63">
        <v>2.0</v>
      </c>
      <c r="F161" s="63">
        <v>3.25</v>
      </c>
      <c r="G161" s="61"/>
    </row>
    <row r="162" ht="15.75" customHeight="1">
      <c r="A162" s="59" t="s">
        <v>163</v>
      </c>
      <c r="B162" s="62">
        <v>1351.3254</v>
      </c>
      <c r="C162" s="62">
        <v>737.0866</v>
      </c>
      <c r="D162" s="62">
        <v>491.391</v>
      </c>
      <c r="E162" s="62">
        <v>491.391</v>
      </c>
      <c r="F162" s="62">
        <v>798.5105</v>
      </c>
      <c r="G162" s="61"/>
    </row>
    <row r="163" ht="15.75" customHeight="1">
      <c r="A163" s="59" t="s">
        <v>164</v>
      </c>
      <c r="B163" s="62" t="s">
        <v>26</v>
      </c>
      <c r="C163" s="62" t="s">
        <v>26</v>
      </c>
      <c r="D163" s="62" t="s">
        <v>26</v>
      </c>
      <c r="E163" s="62" t="s">
        <v>26</v>
      </c>
      <c r="F163" s="62" t="s">
        <v>26</v>
      </c>
      <c r="G163" s="64"/>
    </row>
    <row r="164" ht="15.75" customHeight="1">
      <c r="A164" s="59" t="s">
        <v>165</v>
      </c>
      <c r="B164" s="62">
        <v>10696.4</v>
      </c>
      <c r="C164" s="62">
        <v>11122.0</v>
      </c>
      <c r="D164" s="62">
        <v>13153.2</v>
      </c>
      <c r="E164" s="62">
        <v>16141.1</v>
      </c>
      <c r="F164" s="62">
        <v>19071.3</v>
      </c>
      <c r="G164" s="64"/>
    </row>
    <row r="165" ht="15.75" customHeight="1">
      <c r="A165" s="59" t="s">
        <v>166</v>
      </c>
      <c r="B165" s="62" t="s">
        <v>26</v>
      </c>
      <c r="C165" s="62" t="s">
        <v>26</v>
      </c>
      <c r="D165" s="62" t="s">
        <v>26</v>
      </c>
      <c r="E165" s="62" t="s">
        <v>26</v>
      </c>
      <c r="F165" s="62" t="s">
        <v>26</v>
      </c>
      <c r="G165" s="64"/>
    </row>
    <row r="166" ht="15.75" customHeight="1">
      <c r="A166" s="59" t="s">
        <v>167</v>
      </c>
      <c r="B166" s="62">
        <v>1262.9</v>
      </c>
      <c r="C166" s="62">
        <v>1866.1</v>
      </c>
      <c r="D166" s="62">
        <v>2272.7</v>
      </c>
      <c r="E166" s="62">
        <v>392.9</v>
      </c>
      <c r="F166" s="62">
        <v>430.6</v>
      </c>
    </row>
    <row r="167" ht="15.75" customHeight="1">
      <c r="A167" s="59" t="s">
        <v>168</v>
      </c>
      <c r="B167" s="62">
        <v>947.1</v>
      </c>
      <c r="C167" s="62">
        <v>312.3</v>
      </c>
      <c r="D167" s="62">
        <v>782.7</v>
      </c>
      <c r="E167" s="62">
        <v>690.6</v>
      </c>
      <c r="F167" s="62">
        <v>703.4</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7.71"/>
    <col customWidth="1" min="3" max="3" width="11.29"/>
    <col customWidth="1" min="4" max="9" width="11.86"/>
    <col customWidth="1" min="10" max="10" width="27.29"/>
    <col customWidth="1" min="11" max="18" width="11.86"/>
    <col customWidth="1" min="19" max="40" width="8.71"/>
  </cols>
  <sheetData>
    <row r="1">
      <c r="A1" s="71" t="s">
        <v>171</v>
      </c>
      <c r="B1" s="71"/>
      <c r="C1" s="72"/>
      <c r="D1" s="72"/>
      <c r="E1" s="72"/>
      <c r="F1" s="72"/>
      <c r="G1" s="72"/>
      <c r="H1" s="73"/>
      <c r="I1" s="73"/>
      <c r="P1" s="73"/>
      <c r="Q1" s="73"/>
      <c r="R1" s="73"/>
    </row>
    <row r="2">
      <c r="A2" s="58"/>
      <c r="B2" s="58"/>
      <c r="C2" s="74" t="s">
        <v>9</v>
      </c>
      <c r="D2" s="74" t="s">
        <v>10</v>
      </c>
      <c r="E2" s="74" t="s">
        <v>11</v>
      </c>
      <c r="F2" s="74" t="s">
        <v>12</v>
      </c>
      <c r="G2" s="74" t="s">
        <v>13</v>
      </c>
      <c r="H2" s="75"/>
      <c r="I2" s="75"/>
      <c r="P2" s="75"/>
      <c r="Q2" s="75"/>
      <c r="R2" s="75"/>
    </row>
    <row r="3">
      <c r="A3" s="76" t="s">
        <v>172</v>
      </c>
      <c r="B3" s="77" t="s">
        <v>173</v>
      </c>
      <c r="C3" s="78">
        <f>roundup('Horizontal Analysis - Allcargo'!C90/'Horizontal Analysis - Allcargo'!C124,3)</f>
        <v>1.13</v>
      </c>
      <c r="D3" s="78">
        <f>roundup('Horizontal Analysis - Allcargo'!D90/'Horizontal Analysis - Allcargo'!D124,3)</f>
        <v>1.063</v>
      </c>
      <c r="E3" s="78">
        <f>roundup('Horizontal Analysis - Allcargo'!E90/'Horizontal Analysis - Allcargo'!E124,3)</f>
        <v>0.957</v>
      </c>
      <c r="F3" s="78">
        <f>roundup('Horizontal Analysis - Allcargo'!F90/'Horizontal Analysis - Allcargo'!F124,3)</f>
        <v>1.137</v>
      </c>
      <c r="G3" s="78">
        <f>roundup('Horizontal Analysis - Allcargo'!G90/'Horizontal Analysis - Allcargo'!G124,3)</f>
        <v>1.328</v>
      </c>
      <c r="H3" s="79"/>
      <c r="I3" s="79"/>
      <c r="P3" s="79"/>
      <c r="Q3" s="79"/>
      <c r="R3" s="79"/>
    </row>
    <row r="4">
      <c r="A4" s="76"/>
      <c r="B4" s="77" t="s">
        <v>174</v>
      </c>
      <c r="C4" s="78">
        <f>ROUNDUP(('BS - BlueDart'!C37/'BS - BlueDart'!C70),3)</f>
        <v>2.122</v>
      </c>
      <c r="D4" s="78">
        <f>ROUNDUP(('BS - BlueDart'!D37/'BS - BlueDart'!D70),3)</f>
        <v>1.592</v>
      </c>
      <c r="E4" s="78">
        <f>ROUNDUP(('BS - BlueDart'!E37/'BS - BlueDart'!E70),3)</f>
        <v>1.791</v>
      </c>
      <c r="F4" s="78">
        <f>ROUNDUP(('BS - BlueDart'!F37/'BS - BlueDart'!F70),3)</f>
        <v>2.563</v>
      </c>
      <c r="G4" s="78">
        <f>ROUNDUP(('BS - BlueDart'!G37/'BS - BlueDart'!G70),3)</f>
        <v>2.332</v>
      </c>
      <c r="H4" s="79"/>
      <c r="I4" s="79"/>
      <c r="P4" s="79"/>
      <c r="Q4" s="79"/>
      <c r="R4" s="79"/>
    </row>
    <row r="5">
      <c r="A5" s="76"/>
      <c r="B5" s="77" t="s">
        <v>175</v>
      </c>
      <c r="C5" s="78">
        <f>ROUNDUP(('BS - Delhivery'!B17/'BS - Delhivery'!B43),3)</f>
        <v>8.543</v>
      </c>
      <c r="D5" s="78">
        <f>ROUNDUP(('BS - Delhivery'!C17/'BS - Delhivery'!C43),3)</f>
        <v>3.766</v>
      </c>
      <c r="E5" s="78">
        <f>ROUNDUP(('BS - Delhivery'!D17/'BS - Delhivery'!D43),3)</f>
        <v>2.969</v>
      </c>
      <c r="F5" s="78">
        <f>ROUNDUP(('BS - Delhivery'!E17/'BS - Delhivery'!E43),3)</f>
        <v>2.637</v>
      </c>
      <c r="G5" s="78">
        <f>ROUNDUP(('BS - Delhivery'!F17/'BS - Delhivery'!F43),3)</f>
        <v>5.417</v>
      </c>
      <c r="H5" s="79"/>
      <c r="I5" s="79"/>
      <c r="P5" s="79"/>
      <c r="Q5" s="79"/>
      <c r="R5" s="79"/>
    </row>
    <row r="6">
      <c r="A6" s="80" t="s">
        <v>176</v>
      </c>
      <c r="B6" s="81" t="s">
        <v>177</v>
      </c>
      <c r="C6" s="82"/>
      <c r="D6" s="82"/>
      <c r="E6" s="82"/>
      <c r="F6" s="82"/>
      <c r="G6" s="82"/>
      <c r="H6" s="83"/>
      <c r="I6" s="83"/>
      <c r="P6" s="83"/>
      <c r="Q6" s="83"/>
      <c r="R6" s="83"/>
    </row>
    <row r="7">
      <c r="A7" s="81"/>
      <c r="B7" s="81" t="s">
        <v>178</v>
      </c>
      <c r="C7" s="82"/>
      <c r="D7" s="82"/>
      <c r="E7" s="82"/>
      <c r="F7" s="82"/>
      <c r="G7" s="82"/>
      <c r="H7" s="83"/>
      <c r="I7" s="83"/>
      <c r="P7" s="83"/>
      <c r="Q7" s="83"/>
      <c r="R7" s="83"/>
    </row>
    <row r="8">
      <c r="A8" s="81"/>
      <c r="B8" s="81" t="s">
        <v>179</v>
      </c>
      <c r="C8" s="82"/>
      <c r="D8" s="82"/>
      <c r="E8" s="82"/>
      <c r="F8" s="82"/>
      <c r="G8" s="82"/>
      <c r="H8" s="83"/>
      <c r="I8" s="83"/>
      <c r="P8" s="83"/>
      <c r="Q8" s="83"/>
      <c r="R8" s="83"/>
    </row>
    <row r="9">
      <c r="C9" s="74" t="s">
        <v>9</v>
      </c>
      <c r="D9" s="74" t="s">
        <v>10</v>
      </c>
      <c r="E9" s="74" t="s">
        <v>11</v>
      </c>
      <c r="F9" s="74" t="s">
        <v>12</v>
      </c>
      <c r="G9" s="74" t="s">
        <v>13</v>
      </c>
      <c r="H9" s="83"/>
      <c r="I9" s="83"/>
      <c r="P9" s="83"/>
      <c r="Q9" s="83"/>
      <c r="R9" s="83"/>
    </row>
    <row r="10">
      <c r="A10" s="76" t="s">
        <v>180</v>
      </c>
      <c r="B10" s="77" t="s">
        <v>173</v>
      </c>
      <c r="C10" s="84">
        <f>roundup(('Horizontal Analysis - Allcargo'!C90-'Horizontal Analysis - Allcargo'!C78)/'Horizontal Analysis - Allcargo'!C124, 3)</f>
        <v>1.124</v>
      </c>
      <c r="D10" s="84">
        <f>roundup(('Horizontal Analysis - Allcargo'!D90-'Horizontal Analysis - Allcargo'!D78)/'Horizontal Analysis - Allcargo'!D124, 3)</f>
        <v>1.059</v>
      </c>
      <c r="E10" s="84">
        <f>roundup(('Horizontal Analysis - Allcargo'!E90-'Horizontal Analysis - Allcargo'!E78)/'Horizontal Analysis - Allcargo'!E124, 3)</f>
        <v>0.955</v>
      </c>
      <c r="F10" s="84">
        <f>roundup(('Horizontal Analysis - Allcargo'!F90-'Horizontal Analysis - Allcargo'!F78)/'Horizontal Analysis - Allcargo'!F124, 3)</f>
        <v>1.135</v>
      </c>
      <c r="G10" s="84">
        <f>roundup(('Horizontal Analysis - Allcargo'!G90-'Horizontal Analysis - Allcargo'!G78)/'Horizontal Analysis - Allcargo'!G124, 3)</f>
        <v>1.327</v>
      </c>
      <c r="H10" s="83"/>
      <c r="I10" s="83"/>
      <c r="P10" s="83"/>
      <c r="Q10" s="83"/>
      <c r="R10" s="83"/>
    </row>
    <row r="11">
      <c r="A11" s="76"/>
      <c r="B11" s="77" t="s">
        <v>174</v>
      </c>
      <c r="C11" s="85">
        <f>ROUNDUP(('BS - BlueDart'!C20-'BS - BlueDart'!C10)/'BS - BlueDart'!C55, 3)</f>
        <v>1.065</v>
      </c>
      <c r="D11" s="85">
        <f>ROUNDUP(('BS - BlueDart'!D20-'BS - BlueDart'!D10)/'BS - BlueDart'!D55, 3)</f>
        <v>0.736</v>
      </c>
      <c r="E11" s="85">
        <f>ROUNDUP(('BS - BlueDart'!E20-'BS - BlueDart'!E10)/'BS - BlueDart'!E55, 3)</f>
        <v>0.813</v>
      </c>
      <c r="F11" s="85">
        <f>ROUNDUP(('BS - BlueDart'!F20-'BS - BlueDart'!F10)/'BS - BlueDart'!F55, 3)</f>
        <v>0.819</v>
      </c>
      <c r="G11" s="85">
        <f>ROUNDUP(('BS - BlueDart'!G20-'BS - BlueDart'!G10)/'BS - BlueDart'!G55, 3)</f>
        <v>0.915</v>
      </c>
      <c r="H11" s="83"/>
      <c r="I11" s="83"/>
      <c r="P11" s="83"/>
      <c r="Q11" s="83"/>
      <c r="R11" s="83"/>
    </row>
    <row r="12">
      <c r="A12" s="76"/>
      <c r="B12" s="77" t="s">
        <v>175</v>
      </c>
      <c r="C12" s="84">
        <f>ROUNDUP(('BS - Delhivery'!B17-'BS - Delhivery'!B10)/'BS - Delhivery'!B43, 3)</f>
        <v>8.484</v>
      </c>
      <c r="D12" s="84">
        <f>ROUNDUP(('BS - Delhivery'!C17-'BS - Delhivery'!C10)/'BS - Delhivery'!C43, 3)</f>
        <v>3.74</v>
      </c>
      <c r="E12" s="84">
        <f>ROUNDUP(('BS - Delhivery'!D17-'BS - Delhivery'!D10)/'BS - Delhivery'!D43, 3)</f>
        <v>2.941</v>
      </c>
      <c r="F12" s="84">
        <f>ROUNDUP(('BS - Delhivery'!E17-'BS - Delhivery'!E10)/'BS - Delhivery'!E43, 3)</f>
        <v>2.62</v>
      </c>
      <c r="G12" s="84">
        <f>ROUNDUP(('BS - Delhivery'!F17-'BS - Delhivery'!F10)/'BS - Delhivery'!F43, 3)</f>
        <v>5.402</v>
      </c>
      <c r="H12" s="83"/>
      <c r="I12" s="83"/>
      <c r="P12" s="83"/>
      <c r="Q12" s="83"/>
      <c r="R12" s="83"/>
    </row>
    <row r="13">
      <c r="A13" s="80" t="s">
        <v>176</v>
      </c>
      <c r="B13" s="81" t="s">
        <v>181</v>
      </c>
      <c r="C13" s="86"/>
      <c r="D13" s="86"/>
      <c r="E13" s="86"/>
      <c r="F13" s="86"/>
      <c r="G13" s="86"/>
      <c r="H13" s="83"/>
      <c r="I13" s="83"/>
      <c r="P13" s="83"/>
      <c r="Q13" s="83"/>
      <c r="R13" s="83"/>
    </row>
    <row r="14">
      <c r="A14" s="81"/>
      <c r="B14" s="81" t="s">
        <v>182</v>
      </c>
      <c r="C14" s="86"/>
      <c r="D14" s="86"/>
      <c r="E14" s="86"/>
      <c r="F14" s="86"/>
      <c r="G14" s="86"/>
      <c r="H14" s="83"/>
      <c r="I14" s="83"/>
      <c r="P14" s="83"/>
      <c r="Q14" s="83"/>
      <c r="R14" s="83"/>
    </row>
    <row r="15">
      <c r="A15" s="81"/>
      <c r="B15" s="81" t="s">
        <v>183</v>
      </c>
      <c r="C15" s="86"/>
      <c r="D15" s="86"/>
      <c r="E15" s="86"/>
      <c r="F15" s="86"/>
      <c r="G15" s="86"/>
      <c r="H15" s="83"/>
      <c r="I15" s="83"/>
      <c r="P15" s="83"/>
      <c r="Q15" s="83"/>
      <c r="R15" s="83"/>
    </row>
    <row r="16">
      <c r="A16" s="71" t="s">
        <v>184</v>
      </c>
      <c r="B16" s="71"/>
      <c r="C16" s="87"/>
      <c r="D16" s="88"/>
      <c r="E16" s="88"/>
      <c r="F16" s="88"/>
      <c r="G16" s="88"/>
      <c r="H16" s="61"/>
      <c r="I16" s="61"/>
      <c r="P16" s="83"/>
      <c r="Q16" s="83"/>
      <c r="R16" s="83"/>
    </row>
    <row r="17">
      <c r="A17" s="58"/>
      <c r="B17" s="58"/>
      <c r="C17" s="74" t="s">
        <v>9</v>
      </c>
      <c r="D17" s="74" t="s">
        <v>10</v>
      </c>
      <c r="E17" s="74" t="s">
        <v>11</v>
      </c>
      <c r="F17" s="74" t="s">
        <v>12</v>
      </c>
      <c r="G17" s="74" t="s">
        <v>13</v>
      </c>
      <c r="H17" s="61"/>
      <c r="I17" s="61"/>
      <c r="P17" s="53"/>
      <c r="Q17" s="53"/>
      <c r="R17" s="53"/>
    </row>
    <row r="18">
      <c r="A18" s="76" t="s">
        <v>185</v>
      </c>
      <c r="B18" s="77" t="s">
        <v>173</v>
      </c>
      <c r="C18" s="89">
        <f>roundup(('Horizontal Analysis - Allcargo'!C115+'Horizontal Analysis - Allcargo'!C125)/'Horizontal Analysis - Allcargo'!C107,3)</f>
        <v>0.127</v>
      </c>
      <c r="D18" s="89">
        <f>roundup(('Horizontal Analysis - Allcargo'!D115+'Horizontal Analysis - Allcargo'!D125)/'Horizontal Analysis - Allcargo'!D107,3)</f>
        <v>0.272</v>
      </c>
      <c r="E18" s="89">
        <f>roundup(('Horizontal Analysis - Allcargo'!E115+'Horizontal Analysis - Allcargo'!E125)/'Horizontal Analysis - Allcargo'!E107,3)</f>
        <v>0.239</v>
      </c>
      <c r="F18" s="89">
        <f>roundup(('Horizontal Analysis - Allcargo'!F115+'Horizontal Analysis - Allcargo'!F125)/'Horizontal Analysis - Allcargo'!F107,3)</f>
        <v>0.213</v>
      </c>
      <c r="G18" s="89">
        <f>roundup(('Horizontal Analysis - Allcargo'!G115+'Horizontal Analysis - Allcargo'!G125)/'Horizontal Analysis - Allcargo'!G107,3)</f>
        <v>0.161</v>
      </c>
      <c r="H18" s="61"/>
      <c r="I18" s="61"/>
      <c r="P18" s="61"/>
      <c r="Q18" s="61"/>
      <c r="R18" s="61"/>
    </row>
    <row r="19">
      <c r="A19" s="76"/>
      <c r="B19" s="77" t="s">
        <v>174</v>
      </c>
      <c r="C19" s="89">
        <f>ROUNDUP(('BS - BlueDart'!C46+'BS - BlueDart'!C56)/'BS - BlueDart'!C38,3)</f>
        <v>0.274</v>
      </c>
      <c r="D19" s="89">
        <f>ROUNDUP(('BS - BlueDart'!D46+'BS - BlueDart'!D56)/'BS - BlueDart'!D38,3)</f>
        <v>0.508</v>
      </c>
      <c r="E19" s="89">
        <f>ROUNDUP(('BS - BlueDart'!E46+'BS - BlueDart'!E56)/'BS - BlueDart'!E38,3)</f>
        <v>0.405</v>
      </c>
      <c r="F19" s="89">
        <f>ROUNDUP(('BS - BlueDart'!F46+'BS - BlueDart'!F56)/'BS - BlueDart'!F38,3)</f>
        <v>0.377</v>
      </c>
      <c r="G19" s="89">
        <f>ROUNDUP(('BS - BlueDart'!G46+'BS - BlueDart'!G56)/'BS - BlueDart'!G38,3)</f>
        <v>0.348</v>
      </c>
      <c r="H19" s="61"/>
      <c r="I19" s="61"/>
      <c r="P19" s="61"/>
      <c r="Q19" s="61"/>
      <c r="R19" s="61"/>
    </row>
    <row r="20">
      <c r="A20" s="76"/>
      <c r="B20" s="77" t="s">
        <v>175</v>
      </c>
      <c r="C20" s="89">
        <f>ROUNDUP(('BS - Delhivery'!B37+'BS - Delhivery'!B44)/'BS - Delhivery'!B31,3)</f>
        <v>0.102</v>
      </c>
      <c r="D20" s="89">
        <f>ROUNDUP(('BS - Delhivery'!C37+'BS - Delhivery'!C44)/'BS - Delhivery'!C31,3)</f>
        <v>0.174</v>
      </c>
      <c r="E20" s="89">
        <f>ROUNDUP(('BS - Delhivery'!D37+'BS - Delhivery'!D44)/'BS - Delhivery'!D31,3)</f>
        <v>0.243</v>
      </c>
      <c r="F20" s="89">
        <f>ROUNDUP(('BS - Delhivery'!E37+'BS - Delhivery'!E44)/'BS - Delhivery'!E31,3)</f>
        <v>0.134</v>
      </c>
      <c r="G20" s="89">
        <f>ROUNDUP(('BS - Delhivery'!F37+'BS - Delhivery'!F44)/'BS - Delhivery'!F31,3)</f>
        <v>0.083</v>
      </c>
      <c r="H20" s="61"/>
      <c r="I20" s="61"/>
      <c r="P20" s="61"/>
      <c r="Q20" s="61"/>
      <c r="R20" s="61"/>
    </row>
    <row r="21">
      <c r="A21" s="80" t="s">
        <v>176</v>
      </c>
      <c r="B21" s="81" t="s">
        <v>186</v>
      </c>
      <c r="C21" s="82"/>
      <c r="D21" s="82"/>
      <c r="E21" s="82"/>
      <c r="F21" s="82"/>
      <c r="G21" s="82"/>
      <c r="H21" s="61"/>
      <c r="I21" s="61"/>
      <c r="P21" s="61"/>
      <c r="Q21" s="61"/>
      <c r="R21" s="61"/>
    </row>
    <row r="22">
      <c r="A22" s="81"/>
      <c r="B22" s="81" t="s">
        <v>187</v>
      </c>
      <c r="C22" s="82"/>
      <c r="D22" s="82"/>
      <c r="E22" s="82"/>
      <c r="F22" s="82"/>
      <c r="G22" s="82"/>
      <c r="H22" s="61"/>
      <c r="I22" s="61"/>
      <c r="P22" s="61"/>
      <c r="Q22" s="61"/>
      <c r="R22" s="61"/>
    </row>
    <row r="23">
      <c r="A23" s="76"/>
      <c r="B23" s="77"/>
      <c r="C23" s="74" t="s">
        <v>9</v>
      </c>
      <c r="D23" s="74" t="s">
        <v>10</v>
      </c>
      <c r="E23" s="74" t="s">
        <v>11</v>
      </c>
      <c r="F23" s="74" t="s">
        <v>12</v>
      </c>
      <c r="G23" s="74" t="s">
        <v>13</v>
      </c>
      <c r="H23" s="61"/>
      <c r="I23" s="61"/>
      <c r="P23" s="61"/>
      <c r="Q23" s="61"/>
      <c r="R23" s="61"/>
    </row>
    <row r="24">
      <c r="A24" s="76" t="s">
        <v>188</v>
      </c>
      <c r="B24" s="77" t="s">
        <v>173</v>
      </c>
      <c r="C24" s="90">
        <f>roundup(('Horizontal Analysis - Allcargo'!C115+'Horizontal Analysis - Allcargo'!C125)/'Horizontal Analysis - Allcargo'!C148,3)</f>
        <v>0.247</v>
      </c>
      <c r="D24" s="90">
        <f>roundup(('Horizontal Analysis - Allcargo'!D115+'Horizontal Analysis - Allcargo'!D125)/'Horizontal Analysis - Allcargo'!D148,3)</f>
        <v>0.664</v>
      </c>
      <c r="E24" s="90">
        <f>roundup(('Horizontal Analysis - Allcargo'!E115+'Horizontal Analysis - Allcargo'!E125)/'Horizontal Analysis - Allcargo'!E148,3)</f>
        <v>0.68</v>
      </c>
      <c r="F24" s="90">
        <f>roundup(('Horizontal Analysis - Allcargo'!F115+'Horizontal Analysis - Allcargo'!F125)/'Horizontal Analysis - Allcargo'!F148,3)</f>
        <v>0.585</v>
      </c>
      <c r="G24" s="90">
        <f>roundup(('Horizontal Analysis - Allcargo'!G115+'Horizontal Analysis - Allcargo'!G125)/'Horizontal Analysis - Allcargo'!G148,3)</f>
        <v>0.379</v>
      </c>
      <c r="H24" s="61"/>
      <c r="I24" s="61"/>
      <c r="P24" s="61"/>
      <c r="Q24" s="61"/>
      <c r="R24" s="61"/>
    </row>
    <row r="25">
      <c r="A25" s="76"/>
      <c r="B25" s="77" t="s">
        <v>174</v>
      </c>
      <c r="C25" s="90">
        <f>ROUNDUP(('BS - BlueDart'!C46+'BS - BlueDart'!C56)/'BS - BlueDart'!C81,3)</f>
        <v>0.859</v>
      </c>
      <c r="D25" s="90">
        <f>ROUNDUP(('BS - BlueDart'!D46+'BS - BlueDart'!D56)/'BS - BlueDart'!D81,3)</f>
        <v>2.732</v>
      </c>
      <c r="E25" s="90">
        <f>ROUNDUP(('BS - BlueDart'!E46+'BS - BlueDart'!E56)/'BS - BlueDart'!E81,3)</f>
        <v>1.981</v>
      </c>
      <c r="F25" s="90">
        <f>ROUNDUP(('BS - BlueDart'!F46+'BS - BlueDart'!F56)/'BS - BlueDart'!F81,3)</f>
        <v>1.223</v>
      </c>
      <c r="G25" s="90">
        <f>ROUNDUP(('BS - BlueDart'!G46+'BS - BlueDart'!G56)/'BS - BlueDart'!G81,3)</f>
        <v>0.95</v>
      </c>
      <c r="H25" s="61"/>
      <c r="I25" s="61"/>
      <c r="P25" s="61"/>
      <c r="Q25" s="61"/>
      <c r="R25" s="61"/>
    </row>
    <row r="26">
      <c r="A26" s="76"/>
      <c r="B26" s="77" t="s">
        <v>175</v>
      </c>
      <c r="C26" s="90">
        <f>ROUNDUP(('BS - Delhivery'!B37+'BS - Delhivery'!B44)/'BS - Delhivery'!B61,3)</f>
        <v>0.122</v>
      </c>
      <c r="D26" s="90">
        <f>ROUNDUP(('BS - Delhivery'!C37+'BS - Delhivery'!C44)/'BS - Delhivery'!C61,3)</f>
        <v>0.239</v>
      </c>
      <c r="E26" s="90">
        <f>ROUNDUP(('BS - Delhivery'!D37+'BS - Delhivery'!D44)/'BS - Delhivery'!D61,3)</f>
        <v>0.394</v>
      </c>
      <c r="F26" s="90">
        <f>ROUNDUP(('BS - Delhivery'!E37+'BS - Delhivery'!E44)/'BS - Delhivery'!E61,3)</f>
        <v>0.185</v>
      </c>
      <c r="G26" s="90">
        <f>ROUNDUP(('BS - Delhivery'!F37+'BS - Delhivery'!F44)/'BS - Delhivery'!F61,3)</f>
        <v>0.101</v>
      </c>
      <c r="H26" s="61"/>
      <c r="I26" s="61"/>
      <c r="P26" s="61"/>
      <c r="Q26" s="61"/>
      <c r="R26" s="61"/>
    </row>
    <row r="27">
      <c r="A27" s="80" t="s">
        <v>176</v>
      </c>
      <c r="B27" s="81" t="s">
        <v>189</v>
      </c>
      <c r="C27" s="82"/>
      <c r="D27" s="82"/>
      <c r="E27" s="82"/>
      <c r="F27" s="82"/>
      <c r="G27" s="82"/>
      <c r="H27" s="61"/>
      <c r="I27" s="61"/>
      <c r="P27" s="61"/>
      <c r="Q27" s="61"/>
      <c r="R27" s="61"/>
    </row>
    <row r="28">
      <c r="A28" s="81"/>
      <c r="B28" s="81" t="s">
        <v>190</v>
      </c>
      <c r="C28" s="82"/>
      <c r="D28" s="82"/>
      <c r="E28" s="82"/>
      <c r="F28" s="82"/>
      <c r="G28" s="82"/>
      <c r="H28" s="61"/>
      <c r="I28" s="61"/>
      <c r="P28" s="61"/>
      <c r="Q28" s="61"/>
      <c r="R28" s="61"/>
    </row>
    <row r="29" ht="15.75" customHeight="1">
      <c r="A29" s="71" t="s">
        <v>191</v>
      </c>
      <c r="B29" s="71"/>
      <c r="C29" s="87"/>
      <c r="D29" s="88"/>
      <c r="E29" s="88"/>
      <c r="F29" s="88"/>
      <c r="G29" s="88"/>
      <c r="H29" s="61"/>
      <c r="I29" s="61"/>
      <c r="U29" s="58"/>
      <c r="V29" s="91"/>
      <c r="W29" s="91"/>
      <c r="X29" s="91"/>
      <c r="Y29" s="91"/>
      <c r="Z29" s="91"/>
    </row>
    <row r="30" ht="15.75" customHeight="1">
      <c r="A30" s="58"/>
      <c r="B30" s="58"/>
      <c r="C30" s="74" t="s">
        <v>9</v>
      </c>
      <c r="D30" s="74" t="s">
        <v>10</v>
      </c>
      <c r="E30" s="74" t="s">
        <v>11</v>
      </c>
      <c r="F30" s="74" t="s">
        <v>12</v>
      </c>
      <c r="G30" s="74" t="s">
        <v>13</v>
      </c>
      <c r="H30" s="61"/>
      <c r="I30" s="61"/>
      <c r="U30" s="58"/>
      <c r="V30" s="91"/>
      <c r="W30" s="91"/>
      <c r="X30" s="91"/>
      <c r="Y30" s="91"/>
      <c r="Z30" s="91"/>
    </row>
    <row r="31" ht="15.75" customHeight="1">
      <c r="A31" s="92" t="s">
        <v>192</v>
      </c>
      <c r="B31" s="77" t="s">
        <v>173</v>
      </c>
      <c r="C31" s="93">
        <f>roundup('Horizontal Analysis - Allcargo'!C6*2/('Horizontal Analysis - Allcargo'!B90+'Horizontal Analysis - Allcargo'!C90), 3)</f>
        <v>4.464</v>
      </c>
      <c r="D31" s="93">
        <f>roundup('Horizontal Analysis - Allcargo'!D6*2/('Horizontal Analysis - Allcargo'!C90+'Horizontal Analysis - Allcargo'!D90), 3)</f>
        <v>3.707</v>
      </c>
      <c r="E31" s="93">
        <f>roundup('Horizontal Analysis - Allcargo'!E6*2/('Horizontal Analysis - Allcargo'!D90+'Horizontal Analysis - Allcargo'!E90), 3)</f>
        <v>3.615</v>
      </c>
      <c r="F31" s="93">
        <f>roundup('Horizontal Analysis - Allcargo'!F6*2/('Horizontal Analysis - Allcargo'!E90+'Horizontal Analysis - Allcargo'!F90), 3)</f>
        <v>4.335</v>
      </c>
      <c r="G31" s="93">
        <f>roundup('Horizontal Analysis - Allcargo'!G6*2/('Horizontal Analysis - Allcargo'!F90+'Horizontal Analysis - Allcargo'!G90), 3)</f>
        <v>3.715</v>
      </c>
      <c r="H31" s="94"/>
      <c r="I31" s="94"/>
      <c r="U31" s="58"/>
      <c r="V31" s="91"/>
      <c r="W31" s="91"/>
      <c r="X31" s="91"/>
      <c r="Y31" s="91"/>
      <c r="Z31" s="91"/>
    </row>
    <row r="32" ht="15.75" customHeight="1">
      <c r="A32" s="92"/>
      <c r="B32" s="77" t="s">
        <v>174</v>
      </c>
      <c r="C32" s="93">
        <f>roundup(('IS - BlueDart'!C4*2/('BS - BlueDart'!B38 +'BS - BlueDart'!C38)),3)</f>
        <v>1.916</v>
      </c>
      <c r="D32" s="93">
        <f>roundup(('IS - BlueDart'!D4*2/('BS - BlueDart'!C38 +'BS - BlueDart'!D38)),3)</f>
        <v>1.427</v>
      </c>
      <c r="E32" s="93">
        <f>roundup(('IS - BlueDart'!E4*2/('BS - BlueDart'!D38 +'BS - BlueDart'!E38)),3)</f>
        <v>1.188</v>
      </c>
      <c r="F32" s="93">
        <f>roundup(('IS - BlueDart'!F4*2/('BS - BlueDart'!E38 +'BS - BlueDart'!F38)),3)</f>
        <v>1.541</v>
      </c>
      <c r="G32" s="93">
        <f>roundup(('IS - BlueDart'!G4*2/('BS - BlueDart'!F38 +'BS - BlueDart'!G38)),3)</f>
        <v>1.71</v>
      </c>
      <c r="H32" s="94"/>
      <c r="I32" s="94"/>
      <c r="U32" s="58"/>
      <c r="V32" s="91"/>
      <c r="W32" s="91"/>
      <c r="X32" s="91"/>
      <c r="Y32" s="91"/>
      <c r="Z32" s="91"/>
    </row>
    <row r="33" ht="15.75" customHeight="1">
      <c r="A33" s="92"/>
      <c r="B33" s="77" t="s">
        <v>175</v>
      </c>
      <c r="C33" s="92"/>
      <c r="D33" s="93">
        <f>roundup(('IS - Delhivery'!C4*2/('BS - Delhivery'!B31+'BS - Delhivery'!C31)),3)</f>
        <v>0.661</v>
      </c>
      <c r="E33" s="93">
        <f>roundup(('IS - Delhivery'!D4*2/('BS - Delhivery'!C31+'BS - Delhivery'!D31)),3)</f>
        <v>0.815</v>
      </c>
      <c r="F33" s="93">
        <f>roundup(('IS - Delhivery'!E4*2/('BS - Delhivery'!D31+'BS - Delhivery'!E31)),3)</f>
        <v>1.072</v>
      </c>
      <c r="G33" s="93">
        <f>roundup(('IS - Delhivery'!F4*2/('BS - Delhivery'!E31+'BS - Delhivery'!F31)),3)</f>
        <v>0.744</v>
      </c>
      <c r="H33" s="94"/>
      <c r="I33" s="94"/>
      <c r="U33" s="58"/>
      <c r="V33" s="91"/>
      <c r="W33" s="91"/>
      <c r="X33" s="91"/>
      <c r="Y33" s="91"/>
      <c r="Z33" s="91"/>
    </row>
    <row r="34" ht="15.75" customHeight="1">
      <c r="A34" s="80" t="s">
        <v>176</v>
      </c>
      <c r="B34" s="81" t="s">
        <v>193</v>
      </c>
      <c r="C34" s="82"/>
      <c r="D34" s="82"/>
      <c r="E34" s="82"/>
      <c r="F34" s="82"/>
      <c r="G34" s="82"/>
      <c r="H34" s="94"/>
      <c r="I34" s="94"/>
      <c r="U34" s="58"/>
      <c r="V34" s="91"/>
      <c r="W34" s="91"/>
      <c r="X34" s="91"/>
      <c r="Y34" s="91"/>
      <c r="Z34" s="91"/>
    </row>
    <row r="35" ht="15.75" customHeight="1">
      <c r="A35" s="92"/>
      <c r="B35" s="77"/>
      <c r="C35" s="74" t="s">
        <v>9</v>
      </c>
      <c r="D35" s="74" t="s">
        <v>10</v>
      </c>
      <c r="E35" s="74" t="s">
        <v>11</v>
      </c>
      <c r="F35" s="74" t="s">
        <v>12</v>
      </c>
      <c r="G35" s="74" t="s">
        <v>13</v>
      </c>
      <c r="H35" s="94"/>
      <c r="I35" s="94"/>
      <c r="U35" s="58"/>
      <c r="V35" s="91"/>
      <c r="W35" s="91"/>
      <c r="X35" s="91"/>
      <c r="Y35" s="91"/>
      <c r="Z35" s="91"/>
    </row>
    <row r="36" ht="15.75" customHeight="1">
      <c r="A36" s="92" t="s">
        <v>194</v>
      </c>
      <c r="B36" s="77" t="s">
        <v>173</v>
      </c>
      <c r="C36" s="57">
        <f>'Horizontal Analysis - Allcargo'!C6*2/('Horizontal Analysis - Allcargo'!B78+'Horizontal Analysis - Allcargo'!C78)</f>
        <v>745.5482124</v>
      </c>
      <c r="D36" s="57">
        <f>'Horizontal Analysis - Allcargo'!D6*2/('Horizontal Analysis - Allcargo'!C78+'Horizontal Analysis - Allcargo'!D78)</f>
        <v>882.0552885</v>
      </c>
      <c r="E36" s="57">
        <f>'Horizontal Analysis - Allcargo'!E6*2/('Horizontal Analysis - Allcargo'!D78+'Horizontal Analysis - Allcargo'!E78)</f>
        <v>1200.738409</v>
      </c>
      <c r="F36" s="57">
        <f>'Horizontal Analysis - Allcargo'!F6*2/('Horizontal Analysis - Allcargo'!E78+'Horizontal Analysis - Allcargo'!F78)</f>
        <v>2472.38262</v>
      </c>
      <c r="G36" s="57">
        <f>'Horizontal Analysis - Allcargo'!G6*2/('Horizontal Analysis - Allcargo'!F78+'Horizontal Analysis - Allcargo'!G78)</f>
        <v>4429.63681</v>
      </c>
      <c r="H36" s="53"/>
      <c r="I36" s="53"/>
      <c r="U36" s="58"/>
      <c r="V36" s="91"/>
      <c r="W36" s="91"/>
      <c r="X36" s="91"/>
      <c r="Y36" s="91"/>
      <c r="Z36" s="91"/>
    </row>
    <row r="37" ht="15.75" customHeight="1">
      <c r="A37" s="92"/>
      <c r="B37" s="77" t="s">
        <v>174</v>
      </c>
      <c r="C37" s="57">
        <f>ROUNDUP('IS - BlueDart'!C4*2/('BS - BlueDart'!B10+'BS - BlueDart'!C10), 3)</f>
        <v>134.111</v>
      </c>
      <c r="D37" s="57">
        <f>ROUNDUP('IS - BlueDart'!D4*2/('BS - BlueDart'!C10+'BS - BlueDart'!D10), 3)</f>
        <v>119.817</v>
      </c>
      <c r="E37" s="57">
        <f>ROUNDUP('IS - BlueDart'!E4*2/('BS - BlueDart'!D10+'BS - BlueDart'!E10), 3)</f>
        <v>111.899</v>
      </c>
      <c r="F37" s="57">
        <f>ROUNDUP('IS - BlueDart'!F4*2/('BS - BlueDart'!E10+'BS - BlueDart'!F10), 3)</f>
        <v>132.11</v>
      </c>
      <c r="G37" s="57">
        <f>ROUNDUP('IS - BlueDart'!G4*2/('BS - BlueDart'!F10+'BS - BlueDart'!G10), 3)</f>
        <v>139.151</v>
      </c>
      <c r="H37" s="53"/>
      <c r="I37" s="53"/>
      <c r="U37" s="58"/>
      <c r="V37" s="91"/>
      <c r="W37" s="91"/>
      <c r="X37" s="91"/>
      <c r="Y37" s="91"/>
      <c r="Z37" s="91"/>
    </row>
    <row r="38" ht="15.75" customHeight="1">
      <c r="A38" s="92"/>
      <c r="B38" s="77" t="s">
        <v>175</v>
      </c>
      <c r="C38" s="92" t="s">
        <v>195</v>
      </c>
      <c r="D38" s="57">
        <f>ROUNDUP('IS - Delhivery'!C4/('BS - Delhivery'!B10+'BS - Delhivery'!C10), 3)</f>
        <v>68.716</v>
      </c>
      <c r="E38" s="57">
        <f>ROUNDUP('IS - Delhivery'!D4/('BS - Delhivery'!C10+'BS - Delhivery'!D10), 3)</f>
        <v>83.293</v>
      </c>
      <c r="F38" s="57">
        <f>ROUNDUP('IS - Delhivery'!E4/('BS - Delhivery'!D10+'BS - Delhivery'!E10), 3)</f>
        <v>134.279</v>
      </c>
      <c r="G38" s="57">
        <f>ROUNDUP('IS - Delhivery'!F4/('BS - Delhivery'!E10+'BS - Delhivery'!F10), 3)</f>
        <v>161.778</v>
      </c>
      <c r="H38" s="53"/>
      <c r="I38" s="53"/>
      <c r="U38" s="58"/>
      <c r="V38" s="91"/>
      <c r="W38" s="91"/>
      <c r="X38" s="91"/>
      <c r="Y38" s="91"/>
      <c r="Z38" s="91"/>
    </row>
    <row r="39" ht="15.75" customHeight="1">
      <c r="A39" s="80" t="s">
        <v>176</v>
      </c>
      <c r="B39" s="81" t="s">
        <v>196</v>
      </c>
      <c r="C39" s="82"/>
      <c r="D39" s="82"/>
      <c r="E39" s="82"/>
      <c r="F39" s="82"/>
      <c r="G39" s="82"/>
      <c r="H39" s="53"/>
      <c r="I39" s="53"/>
      <c r="U39" s="58"/>
      <c r="V39" s="91"/>
      <c r="W39" s="91"/>
      <c r="X39" s="91"/>
      <c r="Y39" s="91"/>
      <c r="Z39" s="91"/>
    </row>
    <row r="40" ht="15.75" customHeight="1">
      <c r="A40" s="92"/>
      <c r="B40" s="77"/>
      <c r="C40" s="74" t="s">
        <v>9</v>
      </c>
      <c r="D40" s="74" t="s">
        <v>10</v>
      </c>
      <c r="E40" s="74" t="s">
        <v>11</v>
      </c>
      <c r="F40" s="74" t="s">
        <v>12</v>
      </c>
      <c r="G40" s="74" t="s">
        <v>13</v>
      </c>
      <c r="H40" s="53"/>
      <c r="I40" s="53"/>
      <c r="U40" s="58"/>
      <c r="V40" s="91"/>
      <c r="W40" s="91"/>
      <c r="X40" s="91"/>
      <c r="Y40" s="91"/>
      <c r="Z40" s="91"/>
    </row>
    <row r="41" ht="15.75" customHeight="1">
      <c r="A41" s="92" t="s">
        <v>197</v>
      </c>
      <c r="B41" s="77" t="s">
        <v>173</v>
      </c>
      <c r="C41" s="57">
        <f>'Horizontal Analysis - Allcargo'!C6/('Horizontal Analysis - Allcargo'!B75+'Horizontal Analysis - Allcargo'!C75)</f>
        <v>3.864267344</v>
      </c>
      <c r="D41" s="57">
        <f>'Horizontal Analysis - Allcargo'!D6/('Horizontal Analysis - Allcargo'!C75+'Horizontal Analysis - Allcargo'!D75)</f>
        <v>3.507580392</v>
      </c>
      <c r="E41" s="57">
        <f>'Horizontal Analysis - Allcargo'!E6/('Horizontal Analysis - Allcargo'!D75+'Horizontal Analysis - Allcargo'!E75)</f>
        <v>3.153671759</v>
      </c>
      <c r="F41" s="57">
        <f>'Horizontal Analysis - Allcargo'!F6/('Horizontal Analysis - Allcargo'!E75+'Horizontal Analysis - Allcargo'!F75)</f>
        <v>3.629522368</v>
      </c>
      <c r="G41" s="57">
        <f>'Horizontal Analysis - Allcargo'!G6/('Horizontal Analysis - Allcargo'!F75+'Horizontal Analysis - Allcargo'!G75)</f>
        <v>3.529470309</v>
      </c>
      <c r="H41" s="53"/>
      <c r="I41" s="53"/>
      <c r="U41" s="58"/>
      <c r="V41" s="91"/>
      <c r="W41" s="91"/>
      <c r="X41" s="91"/>
      <c r="Y41" s="91"/>
      <c r="Z41" s="91"/>
    </row>
    <row r="42" ht="15.75" customHeight="1">
      <c r="A42" s="92"/>
      <c r="B42" s="77" t="s">
        <v>174</v>
      </c>
      <c r="C42" s="57">
        <f>ROUNDUP('IS - BlueDart'!C4/('BS - BlueDart'!B8+'BS - BlueDart'!C8), 3)</f>
        <v>3.476</v>
      </c>
      <c r="D42" s="57">
        <f>ROUNDUP('IS - BlueDart'!D4/('BS - BlueDart'!C8+'BS - BlueDart'!D8), 3)</f>
        <v>3.116</v>
      </c>
      <c r="E42" s="57">
        <f>ROUNDUP('IS - BlueDart'!E4/('BS - BlueDart'!D8+'BS - BlueDart'!E8), 3)</f>
        <v>3.144</v>
      </c>
      <c r="F42" s="57">
        <f>ROUNDUP('IS - BlueDart'!F4/('BS - BlueDart'!E8+'BS - BlueDart'!F8), 3)</f>
        <v>4.018</v>
      </c>
      <c r="G42" s="57">
        <f>ROUNDUP('IS - BlueDart'!G4/('BS - BlueDart'!F8+'BS - BlueDart'!G8), 3)</f>
        <v>4.252</v>
      </c>
      <c r="H42" s="53"/>
      <c r="I42" s="53"/>
      <c r="U42" s="58"/>
      <c r="V42" s="91"/>
      <c r="W42" s="91"/>
      <c r="X42" s="91"/>
      <c r="Y42" s="91"/>
      <c r="Z42" s="91"/>
    </row>
    <row r="43" ht="15.75" customHeight="1">
      <c r="A43" s="92"/>
      <c r="B43" s="77" t="s">
        <v>175</v>
      </c>
      <c r="C43" s="92" t="s">
        <v>195</v>
      </c>
      <c r="D43" s="92" t="s">
        <v>195</v>
      </c>
      <c r="E43" s="92" t="s">
        <v>195</v>
      </c>
      <c r="F43" s="92" t="s">
        <v>195</v>
      </c>
      <c r="G43" s="57">
        <f>ROUNDUP('IS - Delhivery'!F4/('BS - Delhivery'!E8+'BS - Delhivery'!F8), 3)</f>
        <v>3.737</v>
      </c>
      <c r="H43" s="53"/>
      <c r="I43" s="53"/>
      <c r="U43" s="58"/>
      <c r="V43" s="91"/>
      <c r="W43" s="91"/>
      <c r="X43" s="91"/>
      <c r="Y43" s="91"/>
      <c r="Z43" s="91"/>
    </row>
    <row r="44" ht="15.75" customHeight="1">
      <c r="A44" s="80" t="s">
        <v>176</v>
      </c>
      <c r="B44" s="81" t="s">
        <v>198</v>
      </c>
      <c r="C44" s="82"/>
      <c r="D44" s="82"/>
      <c r="E44" s="82"/>
      <c r="F44" s="82"/>
      <c r="G44" s="82"/>
      <c r="H44" s="53"/>
      <c r="I44" s="53"/>
      <c r="U44" s="58"/>
      <c r="V44" s="91"/>
      <c r="W44" s="91"/>
      <c r="X44" s="91"/>
      <c r="Y44" s="91"/>
      <c r="Z44" s="91"/>
    </row>
    <row r="45" ht="15.75" customHeight="1">
      <c r="A45" s="71" t="s">
        <v>199</v>
      </c>
      <c r="B45" s="71"/>
      <c r="C45" s="87"/>
      <c r="D45" s="88"/>
      <c r="E45" s="88"/>
      <c r="F45" s="88"/>
      <c r="G45" s="88"/>
      <c r="H45" s="61"/>
      <c r="I45" s="61"/>
      <c r="U45" s="58"/>
      <c r="V45" s="91"/>
      <c r="W45" s="91"/>
      <c r="X45" s="91"/>
      <c r="Y45" s="91"/>
      <c r="Z45" s="91"/>
    </row>
    <row r="46" ht="15.75" customHeight="1">
      <c r="A46" s="58"/>
      <c r="B46" s="58"/>
      <c r="C46" s="95" t="s">
        <v>9</v>
      </c>
      <c r="D46" s="95" t="s">
        <v>10</v>
      </c>
      <c r="E46" s="95" t="s">
        <v>11</v>
      </c>
      <c r="F46" s="95" t="s">
        <v>12</v>
      </c>
      <c r="G46" s="95" t="s">
        <v>13</v>
      </c>
      <c r="U46" s="58"/>
      <c r="V46" s="91"/>
      <c r="W46" s="91"/>
      <c r="X46" s="91"/>
      <c r="Y46" s="91"/>
      <c r="Z46" s="91"/>
    </row>
    <row r="47" ht="15.75" customHeight="1">
      <c r="A47" s="76" t="s">
        <v>200</v>
      </c>
      <c r="B47" s="77" t="s">
        <v>173</v>
      </c>
      <c r="C47" s="96">
        <v>4.2517</v>
      </c>
      <c r="D47" s="97">
        <v>3.7789</v>
      </c>
      <c r="E47" s="97">
        <v>4.0753</v>
      </c>
      <c r="F47" s="97">
        <v>5.793</v>
      </c>
      <c r="G47" s="97">
        <v>5.09</v>
      </c>
      <c r="H47" s="98"/>
      <c r="J47" s="53"/>
      <c r="K47" s="53"/>
      <c r="L47" s="53"/>
      <c r="U47" s="58"/>
      <c r="V47" s="91"/>
      <c r="W47" s="91"/>
      <c r="X47" s="91"/>
      <c r="Y47" s="91"/>
      <c r="Z47" s="91"/>
    </row>
    <row r="48" ht="15.75" customHeight="1">
      <c r="A48" s="76"/>
      <c r="B48" s="77" t="s">
        <v>174</v>
      </c>
      <c r="C48" s="99">
        <v>5.2193</v>
      </c>
      <c r="D48" s="99">
        <v>4.1828</v>
      </c>
      <c r="E48" s="99">
        <v>8.1815</v>
      </c>
      <c r="F48" s="99">
        <v>14.434</v>
      </c>
      <c r="G48" s="99">
        <v>10.5009</v>
      </c>
      <c r="H48" s="98"/>
      <c r="I48" s="98"/>
      <c r="J48" s="53"/>
      <c r="K48" s="53"/>
      <c r="L48" s="53"/>
      <c r="U48" s="58"/>
      <c r="V48" s="91"/>
      <c r="W48" s="91"/>
      <c r="X48" s="91"/>
      <c r="Y48" s="91"/>
      <c r="Z48" s="91"/>
    </row>
    <row r="49" ht="15.75" customHeight="1">
      <c r="A49" s="76"/>
      <c r="B49" s="77" t="s">
        <v>175</v>
      </c>
      <c r="C49" s="99">
        <v>-108.1366</v>
      </c>
      <c r="D49" s="99">
        <v>-15.3795</v>
      </c>
      <c r="E49" s="99">
        <v>-13.096</v>
      </c>
      <c r="F49" s="99">
        <v>-16.0184</v>
      </c>
      <c r="G49" s="99">
        <v>-17.9471</v>
      </c>
      <c r="H49" s="98"/>
      <c r="I49" s="98"/>
      <c r="J49" s="53"/>
      <c r="K49" s="53"/>
      <c r="L49" s="53"/>
      <c r="U49" s="58"/>
      <c r="V49" s="91"/>
      <c r="W49" s="91"/>
      <c r="X49" s="91"/>
      <c r="Y49" s="91"/>
      <c r="Z49" s="91"/>
    </row>
    <row r="50" ht="15.75" customHeight="1">
      <c r="A50" s="80" t="s">
        <v>176</v>
      </c>
      <c r="B50" s="81" t="s">
        <v>201</v>
      </c>
      <c r="C50" s="82"/>
      <c r="D50" s="82"/>
      <c r="E50" s="82"/>
      <c r="F50" s="82"/>
      <c r="G50" s="82"/>
      <c r="H50" s="98"/>
      <c r="I50" s="98"/>
      <c r="J50" s="53"/>
      <c r="K50" s="53"/>
      <c r="L50" s="53"/>
      <c r="U50" s="58"/>
      <c r="V50" s="91"/>
      <c r="W50" s="91"/>
      <c r="X50" s="91"/>
      <c r="Y50" s="91"/>
      <c r="Z50" s="91"/>
    </row>
    <row r="51" ht="15.75" customHeight="1">
      <c r="A51" s="81"/>
      <c r="B51" s="81" t="s">
        <v>202</v>
      </c>
      <c r="C51" s="82"/>
      <c r="D51" s="82"/>
      <c r="E51" s="82"/>
      <c r="F51" s="82"/>
      <c r="G51" s="82"/>
      <c r="H51" s="98"/>
      <c r="I51" s="98"/>
      <c r="J51" s="53"/>
      <c r="K51" s="53"/>
      <c r="L51" s="53"/>
      <c r="U51" s="58"/>
      <c r="V51" s="91"/>
      <c r="W51" s="91"/>
      <c r="X51" s="91"/>
      <c r="Y51" s="91"/>
      <c r="Z51" s="91"/>
    </row>
    <row r="52" ht="15.75" customHeight="1">
      <c r="C52" s="95" t="s">
        <v>9</v>
      </c>
      <c r="D52" s="95" t="s">
        <v>10</v>
      </c>
      <c r="E52" s="95" t="s">
        <v>11</v>
      </c>
      <c r="F52" s="95" t="s">
        <v>12</v>
      </c>
      <c r="G52" s="95" t="s">
        <v>13</v>
      </c>
      <c r="H52" s="98"/>
      <c r="I52" s="98"/>
      <c r="J52" s="53"/>
      <c r="K52" s="53"/>
      <c r="L52" s="53"/>
      <c r="U52" s="58"/>
      <c r="V52" s="91"/>
      <c r="W52" s="91"/>
      <c r="X52" s="91"/>
      <c r="Y52" s="91"/>
      <c r="Z52" s="91"/>
    </row>
    <row r="53" ht="15.75" customHeight="1">
      <c r="A53" s="76" t="s">
        <v>203</v>
      </c>
      <c r="B53" s="77" t="s">
        <v>173</v>
      </c>
      <c r="C53" s="100">
        <v>3.3179</v>
      </c>
      <c r="D53" s="101">
        <v>2.9146</v>
      </c>
      <c r="E53" s="101">
        <v>1.5787</v>
      </c>
      <c r="F53" s="101">
        <v>4.2568</v>
      </c>
      <c r="G53" s="101">
        <v>3.6258</v>
      </c>
      <c r="H53" s="98"/>
      <c r="I53" s="98"/>
      <c r="J53" s="53"/>
      <c r="K53" s="53"/>
      <c r="L53" s="53"/>
      <c r="U53" s="58"/>
      <c r="V53" s="91"/>
      <c r="W53" s="91"/>
      <c r="X53" s="91"/>
      <c r="Y53" s="91"/>
      <c r="Z53" s="91"/>
    </row>
    <row r="54" ht="15.75" customHeight="1">
      <c r="A54" s="76"/>
      <c r="B54" s="77" t="s">
        <v>174</v>
      </c>
      <c r="C54" s="99">
        <v>2.8437</v>
      </c>
      <c r="D54" s="99">
        <v>-1.3089</v>
      </c>
      <c r="E54" s="99">
        <v>3.0963</v>
      </c>
      <c r="F54" s="99">
        <v>8.5839</v>
      </c>
      <c r="G54" s="99">
        <v>6.9339</v>
      </c>
      <c r="H54" s="98"/>
      <c r="I54" s="98"/>
      <c r="J54" s="53"/>
      <c r="K54" s="53"/>
      <c r="L54" s="53"/>
      <c r="U54" s="58"/>
      <c r="V54" s="91"/>
      <c r="W54" s="91"/>
      <c r="X54" s="91"/>
      <c r="Y54" s="91"/>
      <c r="Z54" s="91"/>
    </row>
    <row r="55" ht="15.75" customHeight="1">
      <c r="A55" s="76"/>
      <c r="B55" s="77" t="s">
        <v>175</v>
      </c>
      <c r="C55" s="99">
        <v>-107.8244</v>
      </c>
      <c r="D55" s="99">
        <v>-9.6716</v>
      </c>
      <c r="E55" s="99">
        <v>-11.4011</v>
      </c>
      <c r="F55" s="99">
        <v>-14.8904</v>
      </c>
      <c r="G55" s="99">
        <v>-14.0834</v>
      </c>
      <c r="H55" s="61"/>
      <c r="I55" s="61"/>
      <c r="J55" s="61"/>
      <c r="K55" s="61"/>
      <c r="L55" s="61"/>
      <c r="U55" s="58"/>
      <c r="V55" s="91"/>
      <c r="W55" s="91"/>
      <c r="X55" s="91"/>
      <c r="Y55" s="91"/>
      <c r="Z55" s="91"/>
    </row>
    <row r="56" ht="15.75" customHeight="1">
      <c r="A56" s="80" t="s">
        <v>176</v>
      </c>
      <c r="B56" s="81" t="s">
        <v>204</v>
      </c>
      <c r="C56" s="82"/>
      <c r="D56" s="82"/>
      <c r="E56" s="82"/>
      <c r="F56" s="82"/>
      <c r="G56" s="82"/>
      <c r="H56" s="61"/>
      <c r="I56" s="61"/>
      <c r="J56" s="61"/>
      <c r="K56" s="61"/>
      <c r="L56" s="61"/>
      <c r="U56" s="58"/>
      <c r="V56" s="91"/>
      <c r="W56" s="91"/>
      <c r="X56" s="91"/>
      <c r="Y56" s="91"/>
      <c r="Z56" s="91"/>
    </row>
    <row r="57" ht="15.75" customHeight="1">
      <c r="A57" s="80"/>
      <c r="B57" s="81" t="s">
        <v>205</v>
      </c>
      <c r="C57" s="102"/>
      <c r="D57" s="102"/>
      <c r="E57" s="102"/>
      <c r="F57" s="103"/>
      <c r="G57" s="104"/>
      <c r="H57" s="61"/>
      <c r="I57" s="61"/>
      <c r="J57" s="61"/>
      <c r="K57" s="61"/>
      <c r="L57" s="61"/>
      <c r="U57" s="58"/>
      <c r="V57" s="91"/>
      <c r="W57" s="91"/>
      <c r="X57" s="91"/>
      <c r="Y57" s="91"/>
      <c r="Z57" s="91"/>
    </row>
    <row r="58" ht="15.75" customHeight="1">
      <c r="C58" s="95" t="s">
        <v>9</v>
      </c>
      <c r="D58" s="95" t="s">
        <v>10</v>
      </c>
      <c r="E58" s="95" t="s">
        <v>11</v>
      </c>
      <c r="F58" s="95" t="s">
        <v>12</v>
      </c>
      <c r="G58" s="105" t="s">
        <v>13</v>
      </c>
      <c r="H58" s="61"/>
      <c r="I58" s="61"/>
      <c r="J58" s="61"/>
      <c r="K58" s="61"/>
      <c r="L58" s="61"/>
      <c r="U58" s="58"/>
      <c r="V58" s="91"/>
      <c r="W58" s="91"/>
      <c r="X58" s="91"/>
      <c r="Y58" s="91"/>
      <c r="Z58" s="91"/>
    </row>
    <row r="59" ht="15.75" customHeight="1">
      <c r="A59" s="76" t="s">
        <v>206</v>
      </c>
      <c r="B59" s="77" t="s">
        <v>173</v>
      </c>
      <c r="C59" s="89">
        <f>roundup('Horizontal Analysis - Allcargo'!C50/'Horizontal Analysis - Allcargo'!C148*100,3)</f>
        <v>11.306</v>
      </c>
      <c r="D59" s="89">
        <f>roundup('Horizontal Analysis - Allcargo'!D50/'Horizontal Analysis - Allcargo'!D148*100,3)</f>
        <v>9.847</v>
      </c>
      <c r="E59" s="89">
        <f>roundup('Horizontal Analysis - Allcargo'!E50/'Horizontal Analysis - Allcargo'!E148*100,3)</f>
        <v>6.333</v>
      </c>
      <c r="F59" s="89">
        <f>roundup('Horizontal Analysis - Allcargo'!F50/'Horizontal Analysis - Allcargo'!F148*100,3)</f>
        <v>22.887</v>
      </c>
      <c r="G59" s="89">
        <f>roundup('Horizontal Analysis - Allcargo'!G50/'Horizontal Analysis - Allcargo'!G148*100,3)</f>
        <v>21.017</v>
      </c>
      <c r="H59" s="98"/>
      <c r="I59" s="98"/>
      <c r="U59" s="58"/>
      <c r="V59" s="91"/>
      <c r="W59" s="91"/>
      <c r="X59" s="91"/>
      <c r="Y59" s="91"/>
      <c r="Z59" s="91"/>
    </row>
    <row r="60" ht="15.75" customHeight="1">
      <c r="A60" s="76"/>
      <c r="B60" s="77" t="s">
        <v>174</v>
      </c>
      <c r="C60" s="89">
        <f>roundup('IS - BlueDart'!C44/'BS - BlueDart'!C81*100,3)</f>
        <v>15.626</v>
      </c>
      <c r="D60" s="89">
        <f>roundup('IS - BlueDart'!D44/'BS - BlueDart'!D81*100,3)</f>
        <v>-8.468</v>
      </c>
      <c r="E60" s="89">
        <f>roundup('IS - BlueDart'!E44/'BS - BlueDart'!E81*100,3)</f>
        <v>17.199</v>
      </c>
      <c r="F60" s="89">
        <f>roundup('IS - BlueDart'!F44/'BS - BlueDart'!F81*100,3)</f>
        <v>43.417</v>
      </c>
      <c r="G60" s="89">
        <f>roundup('IS - BlueDart'!G44/'BS - BlueDart'!G81*100,3)</f>
        <v>30.405</v>
      </c>
      <c r="J60" s="98"/>
      <c r="K60" s="98"/>
      <c r="L60" s="98"/>
      <c r="U60" s="58"/>
      <c r="V60" s="91"/>
      <c r="W60" s="91"/>
      <c r="X60" s="91"/>
      <c r="Y60" s="91"/>
      <c r="Z60" s="91"/>
    </row>
    <row r="61" ht="15.75" customHeight="1">
      <c r="B61" s="77" t="s">
        <v>175</v>
      </c>
      <c r="C61" s="106">
        <f>ROUNDUP('IS - Delhivery'!B35/'BS - Delhivery'!B61*100, 3)</f>
        <v>-52.632</v>
      </c>
      <c r="D61" s="106">
        <f>ROUNDUP('IS - Delhivery'!C35/'BS - Delhivery'!C61*100, 3)</f>
        <v>-8.483</v>
      </c>
      <c r="E61" s="106">
        <f>ROUNDUP('IS - Delhivery'!D35/'BS - Delhivery'!D61*100, 3)</f>
        <v>-14.656</v>
      </c>
      <c r="F61" s="106">
        <f>ROUNDUP('IS - Delhivery'!E35/'BS - Delhivery'!E61*100, 3)</f>
        <v>-17.203</v>
      </c>
      <c r="G61" s="106">
        <f>ROUNDUP('IS - Delhivery'!F35/'BS - Delhivery'!F61*100, 3)</f>
        <v>-11.089</v>
      </c>
      <c r="J61" s="98"/>
      <c r="K61" s="98"/>
      <c r="L61" s="107"/>
      <c r="U61" s="58"/>
      <c r="V61" s="91"/>
      <c r="W61" s="91"/>
      <c r="X61" s="91"/>
      <c r="Y61" s="91"/>
      <c r="Z61" s="91"/>
    </row>
    <row r="62" ht="15.75" customHeight="1">
      <c r="A62" s="80" t="s">
        <v>176</v>
      </c>
      <c r="B62" s="81" t="s">
        <v>207</v>
      </c>
      <c r="C62" s="82"/>
      <c r="D62" s="82"/>
      <c r="E62" s="82"/>
      <c r="F62" s="82"/>
      <c r="G62" s="82"/>
      <c r="J62" s="61"/>
      <c r="K62" s="61"/>
      <c r="L62" s="61"/>
      <c r="U62" s="58"/>
      <c r="V62" s="91"/>
      <c r="W62" s="91"/>
      <c r="X62" s="91"/>
      <c r="Y62" s="91"/>
      <c r="Z62" s="91"/>
    </row>
    <row r="63" ht="15.75" customHeight="1">
      <c r="A63" s="58"/>
      <c r="B63" s="58"/>
      <c r="C63" s="108"/>
      <c r="D63" s="98"/>
      <c r="E63" s="98"/>
      <c r="F63" s="98"/>
      <c r="G63" s="98"/>
      <c r="H63" s="98"/>
      <c r="I63" s="98"/>
      <c r="J63" s="98"/>
      <c r="K63" s="98"/>
      <c r="L63" s="107"/>
      <c r="M63" s="98"/>
      <c r="N63" s="98"/>
      <c r="O63" s="98"/>
      <c r="P63" s="98"/>
      <c r="Q63" s="98"/>
      <c r="R63" s="98"/>
    </row>
    <row r="64" ht="15.75" customHeight="1">
      <c r="A64" s="58"/>
      <c r="B64" s="58"/>
      <c r="C64" s="58"/>
      <c r="D64" s="61"/>
      <c r="E64" s="61"/>
      <c r="F64" s="61"/>
      <c r="G64" s="61"/>
      <c r="H64" s="61"/>
      <c r="I64" s="61"/>
      <c r="J64" s="61"/>
      <c r="K64" s="61"/>
      <c r="L64" s="61"/>
      <c r="M64" s="61"/>
      <c r="N64" s="61"/>
      <c r="O64" s="61"/>
      <c r="P64" s="61"/>
      <c r="Q64" s="61"/>
      <c r="R64" s="61"/>
    </row>
    <row r="65" ht="15.75" customHeight="1">
      <c r="C65" s="58"/>
      <c r="D65" s="61"/>
      <c r="E65" s="61"/>
      <c r="F65" s="61"/>
      <c r="G65" s="61"/>
      <c r="H65" s="61"/>
      <c r="I65" s="61"/>
      <c r="J65" s="61"/>
      <c r="K65" s="61"/>
      <c r="L65" s="61"/>
      <c r="M65" s="61"/>
      <c r="N65" s="61"/>
      <c r="O65" s="61"/>
      <c r="P65" s="61"/>
      <c r="Q65" s="61"/>
      <c r="R65" s="61"/>
    </row>
    <row r="66" ht="15.75" customHeight="1">
      <c r="C66" s="58"/>
      <c r="D66" s="61"/>
      <c r="E66" s="61"/>
      <c r="F66" s="61"/>
      <c r="G66" s="61"/>
      <c r="H66" s="61"/>
      <c r="I66" s="61"/>
      <c r="J66" s="61"/>
      <c r="K66" s="61"/>
      <c r="L66" s="61"/>
      <c r="M66" s="61"/>
      <c r="N66" s="61"/>
      <c r="O66" s="61"/>
      <c r="P66" s="61"/>
      <c r="Q66" s="61"/>
      <c r="R66" s="61"/>
    </row>
    <row r="67" ht="15.75" customHeight="1">
      <c r="C67" s="58"/>
      <c r="D67" s="61"/>
      <c r="E67" s="61"/>
      <c r="F67" s="61"/>
      <c r="G67" s="61"/>
      <c r="H67" s="61"/>
      <c r="I67" s="61"/>
      <c r="J67" s="61"/>
      <c r="K67" s="61"/>
      <c r="L67" s="61"/>
      <c r="M67" s="61"/>
      <c r="N67" s="61"/>
      <c r="O67" s="61"/>
      <c r="P67" s="61"/>
      <c r="Q67" s="61"/>
      <c r="R67" s="61"/>
    </row>
    <row r="68" ht="15.75" customHeight="1">
      <c r="C68" s="58"/>
      <c r="D68" s="61"/>
      <c r="E68" s="61"/>
      <c r="F68" s="61"/>
      <c r="G68" s="61"/>
      <c r="H68" s="61"/>
      <c r="I68" s="61"/>
      <c r="J68" s="61"/>
      <c r="K68" s="61"/>
      <c r="L68" s="61"/>
      <c r="M68" s="61"/>
      <c r="N68" s="61"/>
      <c r="O68" s="61"/>
      <c r="P68" s="61"/>
      <c r="Q68" s="61"/>
      <c r="R68" s="61"/>
    </row>
    <row r="69" ht="15.75" customHeight="1">
      <c r="C69" s="58"/>
      <c r="D69" s="61"/>
      <c r="E69" s="61"/>
      <c r="F69" s="61"/>
      <c r="G69" s="61"/>
      <c r="H69" s="61"/>
      <c r="I69" s="61"/>
      <c r="J69" s="61"/>
      <c r="K69" s="61"/>
      <c r="L69" s="61"/>
      <c r="M69" s="61"/>
      <c r="N69" s="61"/>
      <c r="O69" s="61"/>
      <c r="P69" s="61"/>
      <c r="Q69" s="61"/>
      <c r="R69" s="61"/>
    </row>
    <row r="70" ht="15.75" customHeight="1">
      <c r="C70" s="58"/>
      <c r="D70" s="61"/>
      <c r="E70" s="61"/>
      <c r="F70" s="61"/>
      <c r="G70" s="61"/>
      <c r="H70" s="61"/>
      <c r="I70" s="61"/>
      <c r="J70" s="61"/>
      <c r="K70" s="61"/>
      <c r="L70" s="61"/>
      <c r="M70" s="61"/>
      <c r="N70" s="61"/>
      <c r="O70" s="61"/>
      <c r="P70" s="61"/>
      <c r="Q70" s="61"/>
      <c r="R70" s="61"/>
    </row>
    <row r="71" ht="15.75" customHeight="1">
      <c r="C71" s="58"/>
      <c r="D71" s="61"/>
      <c r="E71" s="61"/>
      <c r="F71" s="61"/>
      <c r="G71" s="61"/>
      <c r="H71" s="61"/>
      <c r="I71" s="61"/>
      <c r="J71" s="61"/>
      <c r="K71" s="61"/>
      <c r="L71" s="61"/>
      <c r="M71" s="61"/>
      <c r="N71" s="61"/>
      <c r="O71" s="61"/>
      <c r="P71" s="61"/>
      <c r="Q71" s="61"/>
      <c r="R71" s="61"/>
    </row>
    <row r="72" ht="15.75" customHeight="1">
      <c r="C72" s="58"/>
      <c r="D72" s="61"/>
      <c r="E72" s="61"/>
      <c r="F72" s="61"/>
      <c r="G72" s="61"/>
      <c r="H72" s="61"/>
      <c r="I72" s="61"/>
      <c r="J72" s="61"/>
      <c r="K72" s="61"/>
      <c r="L72" s="61"/>
      <c r="M72" s="61"/>
      <c r="N72" s="61"/>
      <c r="O72" s="61"/>
      <c r="P72" s="61"/>
      <c r="Q72" s="61"/>
      <c r="R72" s="61"/>
    </row>
    <row r="73" ht="15.75" customHeight="1">
      <c r="C73" s="52"/>
      <c r="D73" s="94"/>
      <c r="E73" s="94"/>
      <c r="F73" s="94"/>
      <c r="G73" s="94"/>
      <c r="H73" s="94"/>
      <c r="I73" s="94"/>
      <c r="J73" s="94"/>
      <c r="K73" s="94"/>
      <c r="L73" s="94"/>
      <c r="M73" s="94"/>
      <c r="N73" s="94"/>
      <c r="O73" s="94"/>
      <c r="P73" s="94"/>
      <c r="Q73" s="94"/>
      <c r="R73" s="94"/>
    </row>
    <row r="74" ht="15.75" customHeight="1">
      <c r="C74" s="53"/>
      <c r="D74" s="53"/>
      <c r="E74" s="53"/>
      <c r="F74" s="53"/>
      <c r="G74" s="53"/>
      <c r="H74" s="53"/>
      <c r="I74" s="53"/>
      <c r="J74" s="53"/>
      <c r="K74" s="53"/>
      <c r="L74" s="53"/>
      <c r="M74" s="53"/>
      <c r="N74" s="53"/>
      <c r="O74" s="53"/>
      <c r="P74" s="53"/>
      <c r="Q74" s="53"/>
      <c r="R74" s="53"/>
    </row>
    <row r="75" ht="15.75" customHeight="1">
      <c r="C75" s="53"/>
      <c r="D75" s="53"/>
      <c r="E75" s="53"/>
      <c r="F75" s="53"/>
      <c r="G75" s="53"/>
      <c r="H75" s="53"/>
      <c r="I75" s="53"/>
      <c r="J75" s="53"/>
      <c r="K75" s="53"/>
      <c r="L75" s="53"/>
      <c r="M75" s="53"/>
      <c r="N75" s="53"/>
      <c r="O75" s="53"/>
      <c r="P75" s="53"/>
      <c r="Q75" s="53"/>
      <c r="R75" s="53"/>
    </row>
    <row r="76" ht="15.75" customHeight="1">
      <c r="C76" s="58"/>
      <c r="D76" s="61"/>
      <c r="E76" s="61"/>
      <c r="F76" s="61"/>
      <c r="G76" s="61"/>
      <c r="H76" s="61"/>
      <c r="I76" s="61"/>
      <c r="J76" s="61"/>
      <c r="K76" s="61"/>
      <c r="L76" s="61"/>
      <c r="M76" s="61"/>
      <c r="N76" s="61"/>
      <c r="O76" s="61"/>
      <c r="P76" s="61"/>
      <c r="Q76" s="61"/>
      <c r="R76" s="61"/>
    </row>
    <row r="77" ht="15.75" customHeight="1">
      <c r="C77" s="58"/>
      <c r="D77" s="61"/>
      <c r="E77" s="61"/>
      <c r="F77" s="61"/>
      <c r="G77" s="61"/>
      <c r="H77" s="61"/>
      <c r="I77" s="61"/>
      <c r="J77" s="61"/>
      <c r="K77" s="61"/>
      <c r="L77" s="61"/>
      <c r="M77" s="61"/>
      <c r="N77" s="61"/>
      <c r="O77" s="61"/>
      <c r="P77" s="61"/>
      <c r="Q77" s="61"/>
      <c r="R77" s="61"/>
    </row>
    <row r="78" ht="15.75" customHeight="1">
      <c r="C78" s="58"/>
      <c r="D78" s="61"/>
      <c r="E78" s="61"/>
      <c r="F78" s="61"/>
      <c r="G78" s="61"/>
      <c r="H78" s="61"/>
      <c r="I78" s="61"/>
      <c r="J78" s="61"/>
      <c r="K78" s="61"/>
      <c r="L78" s="61"/>
      <c r="M78" s="61"/>
      <c r="N78" s="61"/>
      <c r="O78" s="61"/>
      <c r="P78" s="61"/>
      <c r="Q78" s="61"/>
      <c r="R78" s="61"/>
    </row>
    <row r="79" ht="15.75" customHeight="1">
      <c r="C79" s="58"/>
      <c r="D79" s="61"/>
      <c r="E79" s="61"/>
      <c r="F79" s="61"/>
      <c r="G79" s="61"/>
      <c r="H79" s="61"/>
      <c r="I79" s="61"/>
      <c r="J79" s="61"/>
      <c r="K79" s="61"/>
      <c r="L79" s="61"/>
      <c r="M79" s="61"/>
      <c r="N79" s="61"/>
      <c r="O79" s="61"/>
      <c r="P79" s="61"/>
      <c r="Q79" s="61"/>
      <c r="R79" s="61"/>
    </row>
    <row r="80" ht="15.75" customHeight="1">
      <c r="C80" s="58"/>
      <c r="D80" s="61"/>
      <c r="E80" s="61"/>
      <c r="F80" s="61"/>
      <c r="G80" s="61"/>
      <c r="H80" s="61"/>
      <c r="I80" s="61"/>
      <c r="J80" s="61"/>
      <c r="K80" s="61"/>
      <c r="L80" s="61"/>
      <c r="M80" s="61"/>
      <c r="N80" s="61"/>
      <c r="O80" s="61"/>
      <c r="P80" s="61"/>
      <c r="Q80" s="61"/>
      <c r="R80" s="61"/>
    </row>
    <row r="81" ht="15.75" customHeight="1">
      <c r="C81" s="58"/>
      <c r="D81" s="61"/>
      <c r="E81" s="61"/>
      <c r="F81" s="61"/>
      <c r="G81" s="61"/>
      <c r="H81" s="61"/>
      <c r="I81" s="61"/>
      <c r="J81" s="61"/>
      <c r="K81" s="61"/>
      <c r="L81" s="61"/>
      <c r="M81" s="61"/>
      <c r="N81" s="61"/>
      <c r="O81" s="61"/>
      <c r="P81" s="61"/>
      <c r="Q81" s="61"/>
      <c r="R81" s="61"/>
    </row>
    <row r="82" ht="15.75" customHeight="1">
      <c r="C82" s="58"/>
      <c r="D82" s="61"/>
      <c r="E82" s="61"/>
      <c r="F82" s="61"/>
      <c r="G82" s="61"/>
      <c r="H82" s="61"/>
      <c r="I82" s="61"/>
      <c r="J82" s="61"/>
      <c r="K82" s="61"/>
      <c r="L82" s="61"/>
      <c r="M82" s="61"/>
      <c r="N82" s="61"/>
      <c r="O82" s="61"/>
      <c r="P82" s="61"/>
      <c r="Q82" s="61"/>
      <c r="R82" s="61"/>
    </row>
    <row r="83" ht="15.75" customHeight="1">
      <c r="C83" s="58"/>
      <c r="D83" s="61"/>
      <c r="E83" s="61"/>
      <c r="F83" s="61"/>
      <c r="G83" s="61"/>
      <c r="H83" s="61"/>
      <c r="I83" s="61"/>
      <c r="J83" s="61"/>
      <c r="K83" s="61"/>
      <c r="L83" s="61"/>
      <c r="M83" s="61"/>
      <c r="N83" s="61"/>
      <c r="O83" s="61"/>
      <c r="P83" s="61"/>
      <c r="Q83" s="61"/>
      <c r="R83" s="61"/>
    </row>
    <row r="84" ht="15.75" customHeight="1">
      <c r="A84" s="58"/>
      <c r="B84" s="58"/>
      <c r="C84" s="58"/>
      <c r="D84" s="61"/>
      <c r="E84" s="61"/>
      <c r="F84" s="61"/>
      <c r="G84" s="61"/>
      <c r="H84" s="61"/>
      <c r="I84" s="61"/>
      <c r="J84" s="61"/>
      <c r="K84" s="61"/>
      <c r="L84" s="61"/>
      <c r="M84" s="61"/>
      <c r="N84" s="61"/>
      <c r="O84" s="61"/>
      <c r="P84" s="61"/>
      <c r="Q84" s="61"/>
      <c r="R84" s="61"/>
    </row>
    <row r="85" ht="15.75" customHeight="1">
      <c r="A85" s="52"/>
      <c r="B85" s="52"/>
      <c r="C85" s="52"/>
      <c r="D85" s="94"/>
      <c r="E85" s="94"/>
      <c r="F85" s="94"/>
      <c r="G85" s="94"/>
      <c r="H85" s="94"/>
      <c r="I85" s="94"/>
      <c r="J85" s="94"/>
      <c r="K85" s="94"/>
      <c r="L85" s="94"/>
      <c r="M85" s="94"/>
      <c r="N85" s="94"/>
      <c r="O85" s="94"/>
      <c r="P85" s="94"/>
      <c r="Q85" s="94"/>
      <c r="R85" s="94"/>
    </row>
    <row r="86" ht="15.75" customHeight="1">
      <c r="A86" s="52"/>
      <c r="B86" s="52"/>
      <c r="C86" s="53"/>
      <c r="D86" s="53"/>
      <c r="E86" s="53"/>
      <c r="F86" s="53"/>
      <c r="G86" s="53"/>
      <c r="H86" s="53"/>
      <c r="I86" s="53"/>
      <c r="J86" s="53"/>
      <c r="K86" s="53"/>
      <c r="L86" s="53"/>
      <c r="M86" s="53"/>
      <c r="N86" s="53"/>
      <c r="O86" s="53"/>
      <c r="P86" s="53"/>
      <c r="Q86" s="53"/>
      <c r="R86" s="53"/>
    </row>
    <row r="87" ht="15.75" customHeight="1">
      <c r="A87" s="58"/>
      <c r="B87" s="58"/>
      <c r="C87" s="58"/>
      <c r="D87" s="61"/>
      <c r="E87" s="61"/>
      <c r="F87" s="61"/>
      <c r="G87" s="61"/>
      <c r="H87" s="61"/>
      <c r="I87" s="61"/>
      <c r="J87" s="61"/>
      <c r="K87" s="61"/>
      <c r="L87" s="61"/>
      <c r="M87" s="61"/>
      <c r="N87" s="61"/>
      <c r="O87" s="61"/>
      <c r="P87" s="61"/>
      <c r="Q87" s="61"/>
      <c r="R87" s="61"/>
    </row>
    <row r="88" ht="15.75" customHeight="1">
      <c r="A88" s="52"/>
      <c r="B88" s="52"/>
      <c r="C88" s="53"/>
      <c r="D88" s="53"/>
      <c r="E88" s="53"/>
      <c r="F88" s="53"/>
      <c r="G88" s="53"/>
      <c r="H88" s="53"/>
      <c r="I88" s="53"/>
      <c r="J88" s="53"/>
      <c r="K88" s="53"/>
      <c r="L88" s="53"/>
      <c r="M88" s="53"/>
      <c r="N88" s="53"/>
      <c r="O88" s="53"/>
      <c r="P88" s="53"/>
      <c r="Q88" s="53"/>
      <c r="R88" s="53"/>
    </row>
    <row r="89" ht="15.75" customHeight="1">
      <c r="A89" s="52"/>
      <c r="B89" s="52"/>
      <c r="C89" s="52"/>
      <c r="D89" s="94"/>
      <c r="E89" s="94"/>
      <c r="F89" s="94"/>
      <c r="G89" s="94"/>
      <c r="H89" s="94"/>
      <c r="I89" s="94"/>
      <c r="J89" s="94"/>
      <c r="K89" s="94"/>
      <c r="L89" s="94"/>
      <c r="M89" s="94"/>
      <c r="N89" s="94"/>
      <c r="O89" s="94"/>
      <c r="P89" s="94"/>
      <c r="Q89" s="94"/>
      <c r="R89" s="94"/>
    </row>
    <row r="90" ht="15.75" customHeight="1">
      <c r="A90" s="52"/>
      <c r="B90" s="52"/>
      <c r="C90" s="53"/>
      <c r="D90" s="53"/>
      <c r="E90" s="53"/>
      <c r="F90" s="53"/>
      <c r="G90" s="53"/>
      <c r="H90" s="53"/>
      <c r="I90" s="53"/>
      <c r="J90" s="53"/>
      <c r="K90" s="53"/>
      <c r="L90" s="53"/>
      <c r="M90" s="53"/>
      <c r="N90" s="53"/>
      <c r="O90" s="53"/>
      <c r="P90" s="53"/>
      <c r="Q90" s="53"/>
      <c r="R90" s="53"/>
    </row>
    <row r="91" ht="15.75" customHeight="1">
      <c r="A91" s="52"/>
      <c r="B91" s="52"/>
      <c r="C91" s="52"/>
      <c r="D91" s="94"/>
      <c r="E91" s="94"/>
      <c r="F91" s="94"/>
      <c r="G91" s="94"/>
      <c r="H91" s="94"/>
      <c r="I91" s="94"/>
      <c r="J91" s="94"/>
      <c r="K91" s="94"/>
      <c r="L91" s="94"/>
      <c r="M91" s="94"/>
      <c r="N91" s="94"/>
      <c r="O91" s="94"/>
      <c r="P91" s="94"/>
      <c r="Q91" s="94"/>
      <c r="R91" s="94"/>
    </row>
    <row r="92" ht="15.75" customHeight="1">
      <c r="A92" s="52"/>
      <c r="B92" s="52"/>
      <c r="C92" s="52"/>
      <c r="D92" s="94"/>
      <c r="E92" s="94"/>
      <c r="F92" s="94"/>
      <c r="G92" s="94"/>
      <c r="H92" s="94"/>
      <c r="I92" s="94"/>
      <c r="J92" s="94"/>
      <c r="K92" s="94"/>
      <c r="L92" s="94"/>
      <c r="M92" s="94"/>
      <c r="N92" s="94"/>
      <c r="O92" s="94"/>
      <c r="P92" s="94"/>
      <c r="Q92" s="94"/>
      <c r="R92" s="94"/>
    </row>
    <row r="93" ht="15.75" customHeight="1">
      <c r="A93" s="52"/>
      <c r="B93" s="52"/>
      <c r="C93" s="53"/>
      <c r="D93" s="53"/>
      <c r="E93" s="53"/>
      <c r="F93" s="53"/>
      <c r="G93" s="53"/>
      <c r="H93" s="53"/>
      <c r="I93" s="53"/>
      <c r="J93" s="53"/>
      <c r="K93" s="53"/>
      <c r="L93" s="53"/>
      <c r="M93" s="53"/>
      <c r="N93" s="53"/>
      <c r="O93" s="53"/>
      <c r="P93" s="53"/>
      <c r="Q93" s="53"/>
      <c r="R93" s="53"/>
    </row>
    <row r="94" ht="15.75" customHeight="1">
      <c r="A94" s="52"/>
      <c r="B94" s="52"/>
      <c r="C94" s="53"/>
      <c r="D94" s="53"/>
      <c r="E94" s="53"/>
      <c r="F94" s="53"/>
      <c r="G94" s="53"/>
      <c r="H94" s="53"/>
      <c r="I94" s="53"/>
      <c r="J94" s="53"/>
      <c r="K94" s="53"/>
      <c r="L94" s="53"/>
      <c r="M94" s="53"/>
      <c r="N94" s="53"/>
      <c r="O94" s="53"/>
      <c r="P94" s="53"/>
      <c r="Q94" s="53"/>
      <c r="R94" s="53"/>
    </row>
    <row r="95" ht="15.75" customHeight="1">
      <c r="A95" s="58"/>
      <c r="B95" s="58"/>
      <c r="C95" s="58"/>
      <c r="D95" s="61"/>
      <c r="E95" s="61"/>
      <c r="F95" s="61"/>
      <c r="G95" s="61"/>
      <c r="H95" s="61"/>
      <c r="I95" s="61"/>
      <c r="J95" s="61"/>
      <c r="K95" s="61"/>
      <c r="L95" s="61"/>
      <c r="M95" s="61"/>
      <c r="N95" s="61"/>
      <c r="O95" s="61"/>
      <c r="P95" s="61"/>
      <c r="Q95" s="61"/>
      <c r="R95" s="61"/>
    </row>
    <row r="96" ht="15.75" customHeight="1">
      <c r="A96" s="58"/>
      <c r="B96" s="58"/>
      <c r="C96" s="58"/>
      <c r="D96" s="64"/>
      <c r="E96" s="64"/>
      <c r="F96" s="64"/>
      <c r="G96" s="64"/>
      <c r="H96" s="64"/>
      <c r="I96" s="64"/>
      <c r="J96" s="64"/>
      <c r="K96" s="64"/>
      <c r="L96" s="64"/>
      <c r="M96" s="64"/>
      <c r="N96" s="64"/>
      <c r="O96" s="64"/>
      <c r="P96" s="64"/>
      <c r="Q96" s="64"/>
      <c r="R96" s="64"/>
    </row>
    <row r="97" ht="15.75" customHeight="1">
      <c r="A97" s="58"/>
      <c r="B97" s="58"/>
      <c r="C97" s="58"/>
      <c r="D97" s="61"/>
      <c r="E97" s="61"/>
      <c r="F97" s="61"/>
      <c r="G97" s="61"/>
      <c r="H97" s="61"/>
      <c r="I97" s="61"/>
      <c r="J97" s="61"/>
      <c r="K97" s="61"/>
      <c r="L97" s="61"/>
      <c r="M97" s="61"/>
      <c r="N97" s="61"/>
      <c r="O97" s="61"/>
      <c r="P97" s="61"/>
      <c r="Q97" s="61"/>
      <c r="R97" s="61"/>
    </row>
    <row r="98" ht="15.75" customHeight="1">
      <c r="A98" s="58"/>
      <c r="B98" s="58"/>
      <c r="C98" s="58"/>
      <c r="D98" s="61"/>
      <c r="E98" s="61"/>
      <c r="F98" s="61"/>
      <c r="G98" s="61"/>
      <c r="H98" s="61"/>
      <c r="I98" s="61"/>
      <c r="J98" s="61"/>
      <c r="K98" s="61"/>
      <c r="L98" s="61"/>
      <c r="M98" s="61"/>
      <c r="N98" s="61"/>
      <c r="O98" s="61"/>
      <c r="P98" s="61"/>
      <c r="Q98" s="61"/>
      <c r="R98" s="61"/>
    </row>
    <row r="99" ht="15.75" customHeight="1">
      <c r="A99" s="58"/>
      <c r="B99" s="58"/>
      <c r="C99" s="58"/>
      <c r="D99" s="61"/>
      <c r="E99" s="61"/>
      <c r="F99" s="61"/>
      <c r="G99" s="61"/>
      <c r="H99" s="61"/>
      <c r="I99" s="61"/>
      <c r="J99" s="61"/>
      <c r="K99" s="61"/>
      <c r="L99" s="61"/>
      <c r="M99" s="61"/>
      <c r="N99" s="61"/>
      <c r="O99" s="61"/>
      <c r="P99" s="61"/>
      <c r="Q99" s="61"/>
      <c r="R99" s="61"/>
    </row>
    <row r="100" ht="15.75" customHeight="1">
      <c r="A100" s="58"/>
      <c r="B100" s="58"/>
      <c r="C100" s="58"/>
      <c r="D100" s="61"/>
      <c r="E100" s="61"/>
      <c r="F100" s="61"/>
      <c r="G100" s="61"/>
      <c r="H100" s="61"/>
      <c r="I100" s="61"/>
      <c r="J100" s="61"/>
      <c r="K100" s="61"/>
      <c r="L100" s="61"/>
      <c r="M100" s="61"/>
      <c r="N100" s="61"/>
      <c r="O100" s="61"/>
      <c r="P100" s="61"/>
      <c r="Q100" s="61"/>
      <c r="R100" s="61"/>
    </row>
    <row r="101" ht="15.75" customHeight="1">
      <c r="A101" s="58"/>
      <c r="B101" s="58"/>
      <c r="C101" s="58"/>
      <c r="D101" s="61"/>
      <c r="E101" s="61"/>
      <c r="F101" s="61"/>
      <c r="G101" s="61"/>
      <c r="H101" s="61"/>
      <c r="I101" s="61"/>
      <c r="J101" s="61"/>
      <c r="K101" s="61"/>
      <c r="L101" s="61"/>
      <c r="M101" s="61"/>
      <c r="N101" s="61"/>
      <c r="O101" s="61"/>
      <c r="P101" s="61"/>
      <c r="Q101" s="61"/>
      <c r="R101" s="61"/>
    </row>
    <row r="102" ht="15.75" customHeight="1">
      <c r="A102" s="58"/>
      <c r="B102" s="58"/>
      <c r="C102" s="58"/>
      <c r="D102" s="64"/>
      <c r="E102" s="64"/>
      <c r="F102" s="64"/>
      <c r="G102" s="64"/>
      <c r="H102" s="64"/>
      <c r="I102" s="64"/>
      <c r="J102" s="64"/>
      <c r="K102" s="64"/>
      <c r="L102" s="64"/>
      <c r="M102" s="64"/>
      <c r="N102" s="64"/>
      <c r="O102" s="64"/>
      <c r="P102" s="64"/>
      <c r="Q102" s="64"/>
      <c r="R102" s="64"/>
    </row>
    <row r="103" ht="15.75" customHeight="1">
      <c r="A103" s="58"/>
      <c r="B103" s="58"/>
      <c r="C103" s="58"/>
      <c r="D103" s="64"/>
      <c r="E103" s="64"/>
      <c r="F103" s="64"/>
      <c r="G103" s="64"/>
      <c r="H103" s="64"/>
      <c r="I103" s="64"/>
      <c r="J103" s="64"/>
      <c r="K103" s="64"/>
      <c r="L103" s="64"/>
      <c r="M103" s="64"/>
      <c r="N103" s="64"/>
      <c r="O103" s="64"/>
      <c r="P103" s="64"/>
      <c r="Q103" s="64"/>
      <c r="R103" s="64"/>
    </row>
    <row r="104" ht="15.75" customHeight="1">
      <c r="A104" s="58"/>
      <c r="B104" s="58"/>
      <c r="C104" s="58"/>
      <c r="D104" s="64"/>
      <c r="E104" s="64"/>
      <c r="F104" s="64"/>
      <c r="G104" s="64"/>
      <c r="H104" s="64"/>
      <c r="I104" s="64"/>
      <c r="J104" s="64"/>
      <c r="K104" s="64"/>
      <c r="L104" s="64"/>
      <c r="M104" s="64"/>
      <c r="N104" s="64"/>
      <c r="O104" s="64"/>
      <c r="P104" s="64"/>
      <c r="Q104" s="64"/>
      <c r="R104" s="64"/>
    </row>
    <row r="105" ht="15.75" customHeight="1">
      <c r="A105" s="109"/>
      <c r="B105" s="109"/>
      <c r="C105" s="109"/>
      <c r="D105" s="109"/>
      <c r="E105" s="109"/>
      <c r="F105" s="109"/>
      <c r="G105" s="109"/>
      <c r="H105" s="109"/>
      <c r="I105" s="109"/>
      <c r="J105" s="109"/>
      <c r="K105" s="109"/>
      <c r="L105" s="109"/>
      <c r="M105" s="109"/>
      <c r="N105" s="109"/>
      <c r="O105" s="109"/>
      <c r="P105" s="109"/>
      <c r="Q105" s="109"/>
      <c r="R105" s="109"/>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0" t="s">
        <v>208</v>
      </c>
    </row>
    <row r="3">
      <c r="A3" s="110" t="s">
        <v>209</v>
      </c>
    </row>
    <row r="4">
      <c r="A4" s="111"/>
      <c r="B4" s="111"/>
      <c r="C4" s="111"/>
      <c r="D4" s="111"/>
    </row>
    <row r="5">
      <c r="A5" s="1" t="s">
        <v>210</v>
      </c>
      <c r="B5" s="111"/>
      <c r="C5" s="111"/>
      <c r="D5" s="111"/>
    </row>
    <row r="6">
      <c r="A6" s="111"/>
      <c r="B6" s="112" t="s">
        <v>211</v>
      </c>
      <c r="C6" s="112" t="s">
        <v>212</v>
      </c>
      <c r="D6" s="112" t="s">
        <v>213</v>
      </c>
      <c r="E6" s="113"/>
      <c r="F6" s="114" t="s">
        <v>214</v>
      </c>
    </row>
    <row r="7">
      <c r="A7" s="115" t="s">
        <v>215</v>
      </c>
      <c r="B7" s="116">
        <f>roundup('Horizontal Analysis - Allcargo'!C50/'Horizontal Analysis - Allcargo'!C6,3)</f>
        <v>0.034</v>
      </c>
      <c r="C7" s="116">
        <f>'Ratio Analysis '!G31</f>
        <v>3.715</v>
      </c>
      <c r="D7" s="116">
        <f>roundup('Horizontal Analysis - Allcargo'!C107/'Horizontal Analysis - Allcargo'!C148,3)</f>
        <v>1.94</v>
      </c>
      <c r="F7" s="116">
        <f t="shared" ref="F7:F9" si="1">B7*C7*D7*100</f>
        <v>24.50414</v>
      </c>
    </row>
    <row r="8">
      <c r="A8" s="115" t="s">
        <v>174</v>
      </c>
      <c r="B8" s="116">
        <f>roundup('IS - BlueDart'!C44/'IS - BlueDart'!C4,3)</f>
        <v>0.029</v>
      </c>
      <c r="C8" s="116">
        <f>'Ratio Analysis '!G32</f>
        <v>1.71</v>
      </c>
      <c r="D8" s="116">
        <f>roundup('BS - BlueDart'!C38/'BS - BlueDart'!C81,3)</f>
        <v>3.136</v>
      </c>
      <c r="F8" s="116">
        <f t="shared" si="1"/>
        <v>15.551424</v>
      </c>
    </row>
    <row r="9">
      <c r="A9" s="115" t="s">
        <v>175</v>
      </c>
      <c r="B9" s="116">
        <f>roundup('IS - Delhivery'!C35/'IS - Delhivery'!C4,3)</f>
        <v>-0.097</v>
      </c>
      <c r="C9" s="116">
        <f>'Ratio Analysis '!G33</f>
        <v>0.744</v>
      </c>
      <c r="D9" s="116">
        <f>roundup('BS - Delhivery'!B31/'BS - Delhivery'!B61,3)</f>
        <v>1.199</v>
      </c>
      <c r="F9" s="116">
        <f t="shared" si="1"/>
        <v>-8.6529432</v>
      </c>
    </row>
    <row r="10">
      <c r="A10" s="117"/>
    </row>
    <row r="11">
      <c r="A11" s="118" t="s">
        <v>176</v>
      </c>
      <c r="B11" s="119"/>
      <c r="C11" s="119"/>
      <c r="D11" s="119"/>
      <c r="E11" s="119"/>
      <c r="F11" s="119"/>
      <c r="G11" s="119"/>
      <c r="H11" s="119"/>
      <c r="I11" s="119"/>
      <c r="J11" s="119"/>
      <c r="K11" s="119"/>
      <c r="L11" s="119"/>
    </row>
    <row r="12">
      <c r="A12" s="119"/>
      <c r="B12" s="120" t="s">
        <v>216</v>
      </c>
      <c r="C12" s="119"/>
      <c r="D12" s="119"/>
      <c r="E12" s="119"/>
      <c r="F12" s="119"/>
      <c r="G12" s="119"/>
      <c r="H12" s="119"/>
      <c r="I12" s="119"/>
      <c r="J12" s="119"/>
      <c r="K12" s="119"/>
      <c r="L12" s="119"/>
    </row>
    <row r="13">
      <c r="A13" s="119"/>
      <c r="B13" s="120" t="s">
        <v>217</v>
      </c>
      <c r="C13" s="119"/>
      <c r="D13" s="119"/>
      <c r="E13" s="119"/>
      <c r="F13" s="119"/>
      <c r="G13" s="119"/>
      <c r="H13" s="119"/>
      <c r="I13" s="119"/>
      <c r="J13" s="119"/>
      <c r="K13" s="119"/>
      <c r="L13" s="1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43"/>
  </cols>
  <sheetData>
    <row r="1">
      <c r="A1" s="121" t="s">
        <v>7</v>
      </c>
      <c r="B1" s="122" t="s">
        <v>8</v>
      </c>
      <c r="C1" s="123" t="s">
        <v>9</v>
      </c>
      <c r="D1" s="123" t="s">
        <v>10</v>
      </c>
      <c r="E1" s="123" t="s">
        <v>11</v>
      </c>
      <c r="F1" s="123" t="s">
        <v>12</v>
      </c>
      <c r="G1" s="123" t="s">
        <v>13</v>
      </c>
    </row>
    <row r="2">
      <c r="A2" s="124" t="s">
        <v>14</v>
      </c>
      <c r="B2" s="125" t="s">
        <v>15</v>
      </c>
      <c r="C2" s="126" t="s">
        <v>16</v>
      </c>
      <c r="D2" s="126" t="s">
        <v>17</v>
      </c>
      <c r="E2" s="126" t="s">
        <v>18</v>
      </c>
      <c r="F2" s="126" t="s">
        <v>19</v>
      </c>
      <c r="G2" s="126" t="s">
        <v>20</v>
      </c>
    </row>
    <row r="3">
      <c r="A3" s="127" t="s">
        <v>21</v>
      </c>
      <c r="B3" s="128">
        <v>27992.4</v>
      </c>
      <c r="C3" s="129">
        <v>31744.0</v>
      </c>
      <c r="D3" s="129">
        <v>31751.3</v>
      </c>
      <c r="E3" s="129">
        <v>32881.3</v>
      </c>
      <c r="F3" s="129">
        <v>44104.9</v>
      </c>
      <c r="G3" s="129">
        <v>51722.2</v>
      </c>
    </row>
    <row r="4">
      <c r="A4" s="130" t="s">
        <v>22</v>
      </c>
      <c r="B4" s="131">
        <v>27992.4</v>
      </c>
      <c r="C4" s="132">
        <v>31744.0</v>
      </c>
      <c r="D4" s="132">
        <v>31751.3</v>
      </c>
      <c r="E4" s="132">
        <v>32881.3</v>
      </c>
      <c r="F4" s="132">
        <v>44104.9</v>
      </c>
      <c r="G4" s="132">
        <v>51722.2</v>
      </c>
    </row>
    <row r="5">
      <c r="A5" s="127" t="s">
        <v>218</v>
      </c>
      <c r="B5" s="128" t="s">
        <v>26</v>
      </c>
      <c r="C5" s="129" t="s">
        <v>26</v>
      </c>
      <c r="D5" s="129" t="s">
        <v>26</v>
      </c>
      <c r="E5" s="129" t="s">
        <v>26</v>
      </c>
      <c r="F5" s="129" t="s">
        <v>26</v>
      </c>
      <c r="G5" s="129" t="s">
        <v>26</v>
      </c>
    </row>
    <row r="6">
      <c r="A6" s="130" t="s">
        <v>23</v>
      </c>
      <c r="B6" s="131">
        <v>74.6</v>
      </c>
      <c r="C6" s="132">
        <v>73.9</v>
      </c>
      <c r="D6" s="132">
        <v>55.3</v>
      </c>
      <c r="E6" s="132">
        <v>127.3</v>
      </c>
      <c r="F6" s="132">
        <v>307.9</v>
      </c>
      <c r="G6" s="132">
        <v>0.0</v>
      </c>
    </row>
    <row r="7">
      <c r="A7" s="130" t="s">
        <v>24</v>
      </c>
      <c r="B7" s="131">
        <v>25617.5</v>
      </c>
      <c r="C7" s="132">
        <v>30161.1</v>
      </c>
      <c r="D7" s="132">
        <v>30478.5</v>
      </c>
      <c r="E7" s="132">
        <v>30318.4</v>
      </c>
      <c r="F7" s="132">
        <v>38046.7</v>
      </c>
      <c r="G7" s="132">
        <v>46290.9</v>
      </c>
    </row>
    <row r="8">
      <c r="A8" s="133" t="s">
        <v>27</v>
      </c>
      <c r="B8" s="134">
        <v>21.3</v>
      </c>
      <c r="C8" s="135">
        <v>16.0</v>
      </c>
      <c r="D8" s="135">
        <v>20.2</v>
      </c>
      <c r="E8" s="135">
        <v>68.3</v>
      </c>
      <c r="F8" s="135">
        <v>93.2</v>
      </c>
      <c r="G8" s="135">
        <v>91.7</v>
      </c>
    </row>
    <row r="9">
      <c r="A9" s="130" t="s">
        <v>28</v>
      </c>
      <c r="B9" s="131">
        <v>0.0</v>
      </c>
      <c r="C9" s="132">
        <v>0.0</v>
      </c>
      <c r="D9" s="132">
        <v>0.0</v>
      </c>
      <c r="E9" s="132" t="s">
        <v>26</v>
      </c>
      <c r="F9" s="132" t="s">
        <v>26</v>
      </c>
      <c r="G9" s="132">
        <v>0.0</v>
      </c>
    </row>
    <row r="10">
      <c r="A10" s="130" t="s">
        <v>29</v>
      </c>
      <c r="B10" s="131">
        <v>1144.5</v>
      </c>
      <c r="C10" s="132">
        <v>1278.9</v>
      </c>
      <c r="D10" s="132">
        <v>3473.3</v>
      </c>
      <c r="E10" s="132">
        <v>4300.0</v>
      </c>
      <c r="F10" s="132">
        <v>3953.7</v>
      </c>
      <c r="G10" s="132">
        <v>3944.8</v>
      </c>
    </row>
    <row r="11">
      <c r="A11" s="130" t="s">
        <v>30</v>
      </c>
      <c r="B11" s="131" t="s">
        <v>26</v>
      </c>
      <c r="C11" s="132" t="s">
        <v>26</v>
      </c>
      <c r="D11" s="132" t="s">
        <v>26</v>
      </c>
      <c r="E11" s="132" t="s">
        <v>26</v>
      </c>
      <c r="F11" s="132" t="s">
        <v>26</v>
      </c>
      <c r="G11" s="132">
        <v>34.8</v>
      </c>
    </row>
    <row r="12">
      <c r="A12" s="130" t="s">
        <v>31</v>
      </c>
      <c r="B12" s="131">
        <v>24451.7</v>
      </c>
      <c r="C12" s="132">
        <v>28866.2</v>
      </c>
      <c r="D12" s="132">
        <v>26985.0</v>
      </c>
      <c r="E12" s="132">
        <v>25950.1</v>
      </c>
      <c r="F12" s="132">
        <v>33999.8</v>
      </c>
      <c r="G12" s="132">
        <v>42219.6</v>
      </c>
    </row>
    <row r="13">
      <c r="A13" s="127" t="s">
        <v>32</v>
      </c>
      <c r="B13" s="128">
        <v>2449.5</v>
      </c>
      <c r="C13" s="129">
        <v>1656.8</v>
      </c>
      <c r="D13" s="129">
        <v>1328.1</v>
      </c>
      <c r="E13" s="129">
        <v>2690.2</v>
      </c>
      <c r="F13" s="129">
        <v>6366.1</v>
      </c>
      <c r="G13" s="129">
        <v>5431.3</v>
      </c>
    </row>
    <row r="14">
      <c r="A14" s="130" t="s">
        <v>33</v>
      </c>
      <c r="B14" s="131">
        <v>272.9</v>
      </c>
      <c r="C14" s="132">
        <v>308.1</v>
      </c>
      <c r="D14" s="132">
        <v>1715.0</v>
      </c>
      <c r="E14" s="132">
        <v>1292.3</v>
      </c>
      <c r="F14" s="132">
        <v>1294.9</v>
      </c>
      <c r="G14" s="132">
        <v>519.2</v>
      </c>
    </row>
    <row r="15">
      <c r="A15" s="130" t="s">
        <v>34</v>
      </c>
      <c r="B15" s="131">
        <v>309.1</v>
      </c>
      <c r="C15" s="132">
        <v>350.8</v>
      </c>
      <c r="D15" s="132">
        <v>1104.9</v>
      </c>
      <c r="E15" s="132">
        <v>1033.8</v>
      </c>
      <c r="F15" s="132">
        <v>798.9</v>
      </c>
      <c r="G15" s="132">
        <v>643.5</v>
      </c>
    </row>
    <row r="16">
      <c r="A16" s="133" t="s">
        <v>35</v>
      </c>
      <c r="B16" s="134">
        <v>405.0</v>
      </c>
      <c r="C16" s="135">
        <v>426.6</v>
      </c>
      <c r="D16" s="135">
        <v>1173.8</v>
      </c>
      <c r="E16" s="135">
        <v>1109.5</v>
      </c>
      <c r="F16" s="135">
        <v>869.7</v>
      </c>
      <c r="G16" s="135">
        <v>668.5</v>
      </c>
    </row>
    <row r="17">
      <c r="A17" s="133" t="s">
        <v>36</v>
      </c>
      <c r="B17" s="134">
        <v>95.9</v>
      </c>
      <c r="C17" s="135">
        <v>75.8</v>
      </c>
      <c r="D17" s="135">
        <v>68.9</v>
      </c>
      <c r="E17" s="135">
        <v>75.7</v>
      </c>
      <c r="F17" s="135">
        <v>70.8</v>
      </c>
      <c r="G17" s="135">
        <v>25.0</v>
      </c>
    </row>
    <row r="18">
      <c r="A18" s="130" t="s">
        <v>37</v>
      </c>
      <c r="B18" s="131">
        <v>-35.4</v>
      </c>
      <c r="C18" s="132">
        <v>-33.8</v>
      </c>
      <c r="D18" s="132">
        <v>-30.5</v>
      </c>
      <c r="E18" s="132">
        <v>0.0</v>
      </c>
      <c r="F18" s="132">
        <v>0.0</v>
      </c>
      <c r="G18" s="132" t="s">
        <v>26</v>
      </c>
    </row>
    <row r="19">
      <c r="A19" s="130" t="s">
        <v>38</v>
      </c>
      <c r="B19" s="131">
        <v>-0.8</v>
      </c>
      <c r="C19" s="132">
        <v>-8.9</v>
      </c>
      <c r="D19" s="132">
        <v>-0.5</v>
      </c>
      <c r="E19" s="132">
        <v>0.0</v>
      </c>
      <c r="F19" s="132">
        <v>0.0</v>
      </c>
      <c r="G19" s="132">
        <v>0.0</v>
      </c>
    </row>
    <row r="20">
      <c r="A20" s="130" t="s">
        <v>39</v>
      </c>
      <c r="B20" s="131" t="s">
        <v>26</v>
      </c>
      <c r="C20" s="132" t="s">
        <v>26</v>
      </c>
      <c r="D20" s="132" t="s">
        <v>26</v>
      </c>
      <c r="E20" s="132" t="s">
        <v>26</v>
      </c>
      <c r="F20" s="132">
        <v>0.0</v>
      </c>
      <c r="G20" s="132" t="s">
        <v>26</v>
      </c>
    </row>
    <row r="21">
      <c r="A21" s="130" t="s">
        <v>40</v>
      </c>
      <c r="B21" s="131">
        <v>0.0</v>
      </c>
      <c r="C21" s="132">
        <v>0.0</v>
      </c>
      <c r="D21" s="132">
        <v>641.1</v>
      </c>
      <c r="E21" s="132">
        <v>258.5</v>
      </c>
      <c r="F21" s="132">
        <v>496.0</v>
      </c>
      <c r="G21" s="132">
        <v>-124.3</v>
      </c>
    </row>
    <row r="22">
      <c r="A22" s="127" t="s">
        <v>41</v>
      </c>
      <c r="B22" s="128">
        <v>2176.6</v>
      </c>
      <c r="C22" s="129">
        <v>1348.7</v>
      </c>
      <c r="D22" s="129">
        <v>-386.9</v>
      </c>
      <c r="E22" s="129">
        <v>1397.9</v>
      </c>
      <c r="F22" s="129">
        <v>5071.2</v>
      </c>
      <c r="G22" s="129">
        <v>4912.1</v>
      </c>
    </row>
    <row r="23">
      <c r="A23" s="130" t="s">
        <v>42</v>
      </c>
      <c r="B23" s="131">
        <v>6.6</v>
      </c>
      <c r="C23" s="132">
        <v>7.3</v>
      </c>
      <c r="D23" s="132">
        <v>4.3</v>
      </c>
      <c r="E23" s="132">
        <v>0.0</v>
      </c>
      <c r="F23" s="132">
        <v>-51.7</v>
      </c>
      <c r="G23" s="132">
        <v>-169.9</v>
      </c>
    </row>
    <row r="24">
      <c r="A24" s="130" t="s">
        <v>43</v>
      </c>
      <c r="B24" s="131">
        <v>6.6</v>
      </c>
      <c r="C24" s="132">
        <v>7.3</v>
      </c>
      <c r="D24" s="132">
        <v>4.3</v>
      </c>
      <c r="E24" s="132" t="s">
        <v>26</v>
      </c>
      <c r="F24" s="132">
        <v>1.1</v>
      </c>
      <c r="G24" s="132">
        <v>-0.6</v>
      </c>
    </row>
    <row r="25">
      <c r="A25" s="130" t="s">
        <v>44</v>
      </c>
      <c r="B25" s="131" t="s">
        <v>26</v>
      </c>
      <c r="C25" s="132" t="s">
        <v>26</v>
      </c>
      <c r="D25" s="132" t="s">
        <v>26</v>
      </c>
      <c r="E25" s="132" t="s">
        <v>26</v>
      </c>
      <c r="F25" s="132">
        <v>11.8</v>
      </c>
      <c r="G25" s="132" t="s">
        <v>26</v>
      </c>
    </row>
    <row r="26">
      <c r="A26" s="130" t="s">
        <v>47</v>
      </c>
      <c r="B26" s="131" t="s">
        <v>26</v>
      </c>
      <c r="C26" s="132" t="s">
        <v>26</v>
      </c>
      <c r="D26" s="132" t="s">
        <v>26</v>
      </c>
      <c r="E26" s="132" t="s">
        <v>26</v>
      </c>
      <c r="F26" s="132">
        <v>-64.6</v>
      </c>
      <c r="G26" s="132">
        <v>-169.3</v>
      </c>
    </row>
    <row r="27">
      <c r="A27" s="127" t="s">
        <v>50</v>
      </c>
      <c r="B27" s="128">
        <v>2170.0</v>
      </c>
      <c r="C27" s="129">
        <v>1341.4</v>
      </c>
      <c r="D27" s="129">
        <v>-391.2</v>
      </c>
      <c r="E27" s="129">
        <v>1397.9</v>
      </c>
      <c r="F27" s="129">
        <v>5122.9</v>
      </c>
      <c r="G27" s="129">
        <v>5082.0</v>
      </c>
    </row>
    <row r="28">
      <c r="A28" s="130" t="s">
        <v>51</v>
      </c>
      <c r="B28" s="131">
        <v>722.9</v>
      </c>
      <c r="C28" s="132">
        <v>443.8</v>
      </c>
      <c r="D28" s="132">
        <v>27.4</v>
      </c>
      <c r="E28" s="132">
        <v>379.8</v>
      </c>
      <c r="F28" s="132">
        <v>1300.8</v>
      </c>
      <c r="G28" s="132">
        <v>1376.7</v>
      </c>
    </row>
    <row r="29">
      <c r="A29" s="130" t="s">
        <v>52</v>
      </c>
      <c r="B29" s="131">
        <v>796.5</v>
      </c>
      <c r="C29" s="132">
        <v>527.3</v>
      </c>
      <c r="D29" s="132">
        <v>128.3</v>
      </c>
      <c r="E29" s="132">
        <v>540.2</v>
      </c>
      <c r="F29" s="132">
        <v>1373.5</v>
      </c>
      <c r="G29" s="132">
        <v>1471.3</v>
      </c>
    </row>
    <row r="30">
      <c r="A30" s="130" t="s">
        <v>53</v>
      </c>
      <c r="B30" s="131">
        <v>-73.6</v>
      </c>
      <c r="C30" s="132">
        <v>-83.5</v>
      </c>
      <c r="D30" s="132">
        <v>-100.9</v>
      </c>
      <c r="E30" s="132">
        <v>-160.4</v>
      </c>
      <c r="F30" s="132">
        <v>-72.7</v>
      </c>
      <c r="G30" s="132">
        <v>-94.6</v>
      </c>
    </row>
    <row r="31">
      <c r="A31" s="130" t="s">
        <v>54</v>
      </c>
      <c r="B31" s="131" t="s">
        <v>26</v>
      </c>
      <c r="C31" s="132" t="s">
        <v>26</v>
      </c>
      <c r="D31" s="132" t="s">
        <v>26</v>
      </c>
      <c r="E31" s="132" t="s">
        <v>26</v>
      </c>
      <c r="F31" s="132" t="s">
        <v>26</v>
      </c>
      <c r="G31" s="132" t="s">
        <v>26</v>
      </c>
    </row>
    <row r="32">
      <c r="A32" s="130" t="s">
        <v>55</v>
      </c>
      <c r="B32" s="131" t="s">
        <v>26</v>
      </c>
      <c r="C32" s="132" t="s">
        <v>26</v>
      </c>
      <c r="D32" s="132" t="s">
        <v>26</v>
      </c>
      <c r="E32" s="132">
        <v>0.0</v>
      </c>
      <c r="F32" s="132">
        <v>0.0</v>
      </c>
      <c r="G32" s="132" t="s">
        <v>26</v>
      </c>
    </row>
    <row r="33">
      <c r="A33" s="127" t="s">
        <v>56</v>
      </c>
      <c r="B33" s="128">
        <v>1447.1</v>
      </c>
      <c r="C33" s="129">
        <v>897.6</v>
      </c>
      <c r="D33" s="129">
        <v>-418.6</v>
      </c>
      <c r="E33" s="129">
        <v>1018.1</v>
      </c>
      <c r="F33" s="129">
        <v>3822.1</v>
      </c>
      <c r="G33" s="129">
        <v>3705.3</v>
      </c>
    </row>
    <row r="34">
      <c r="A34" s="130" t="s">
        <v>57</v>
      </c>
      <c r="B34" s="131">
        <v>0.0</v>
      </c>
      <c r="C34" s="132">
        <v>0.0</v>
      </c>
      <c r="D34" s="132">
        <v>0.0</v>
      </c>
      <c r="E34" s="132">
        <v>0.0</v>
      </c>
      <c r="F34" s="132">
        <v>0.0</v>
      </c>
      <c r="G34" s="132">
        <v>0.0</v>
      </c>
    </row>
    <row r="35">
      <c r="A35" s="130" t="s">
        <v>58</v>
      </c>
      <c r="B35" s="131">
        <v>0.0</v>
      </c>
      <c r="C35" s="132">
        <v>0.0</v>
      </c>
      <c r="D35" s="132">
        <v>0.0</v>
      </c>
      <c r="E35" s="132">
        <v>0.0</v>
      </c>
      <c r="F35" s="132">
        <v>0.0</v>
      </c>
      <c r="G35" s="132">
        <v>0.0</v>
      </c>
    </row>
    <row r="36">
      <c r="A36" s="130" t="s">
        <v>59</v>
      </c>
      <c r="B36" s="131">
        <v>0.0</v>
      </c>
      <c r="C36" s="132">
        <v>0.0</v>
      </c>
      <c r="D36" s="132">
        <v>0.0</v>
      </c>
      <c r="E36" s="132">
        <v>0.0</v>
      </c>
      <c r="F36" s="132">
        <v>0.0</v>
      </c>
      <c r="G36" s="132">
        <v>0.0</v>
      </c>
    </row>
    <row r="37">
      <c r="A37" s="127" t="s">
        <v>60</v>
      </c>
      <c r="B37" s="128">
        <v>1447.1</v>
      </c>
      <c r="C37" s="129">
        <v>897.6</v>
      </c>
      <c r="D37" s="129">
        <v>-418.6</v>
      </c>
      <c r="E37" s="129">
        <v>1018.1</v>
      </c>
      <c r="F37" s="129">
        <v>3822.1</v>
      </c>
      <c r="G37" s="129">
        <v>3705.3</v>
      </c>
    </row>
    <row r="38">
      <c r="A38" s="130" t="s">
        <v>61</v>
      </c>
      <c r="B38" s="131">
        <v>0.0</v>
      </c>
      <c r="C38" s="132">
        <v>0.0</v>
      </c>
      <c r="D38" s="132">
        <v>0.0</v>
      </c>
      <c r="E38" s="132">
        <v>0.0</v>
      </c>
      <c r="F38" s="132">
        <v>0.0</v>
      </c>
      <c r="G38" s="132">
        <v>0.0</v>
      </c>
    </row>
    <row r="39">
      <c r="A39" s="127" t="s">
        <v>62</v>
      </c>
      <c r="B39" s="128">
        <v>1447.1</v>
      </c>
      <c r="C39" s="129">
        <v>897.6</v>
      </c>
      <c r="D39" s="129">
        <v>-418.6</v>
      </c>
      <c r="E39" s="129">
        <v>1018.1</v>
      </c>
      <c r="F39" s="129">
        <v>3822.1</v>
      </c>
      <c r="G39" s="129">
        <v>3705.3</v>
      </c>
    </row>
    <row r="40">
      <c r="A40" s="130" t="s">
        <v>63</v>
      </c>
      <c r="B40" s="131">
        <v>0.0</v>
      </c>
      <c r="C40" s="132">
        <v>0.0</v>
      </c>
      <c r="D40" s="132">
        <v>0.0</v>
      </c>
      <c r="E40" s="132">
        <v>0.0</v>
      </c>
      <c r="F40" s="132">
        <v>0.0</v>
      </c>
      <c r="G40" s="132">
        <v>0.0</v>
      </c>
    </row>
    <row r="41">
      <c r="A41" s="130" t="s">
        <v>64</v>
      </c>
      <c r="B41" s="131">
        <v>0.0</v>
      </c>
      <c r="C41" s="132">
        <v>0.0</v>
      </c>
      <c r="D41" s="132">
        <v>0.0</v>
      </c>
      <c r="E41" s="132">
        <v>0.0</v>
      </c>
      <c r="F41" s="132">
        <v>0.0</v>
      </c>
      <c r="G41" s="132">
        <v>0.0</v>
      </c>
    </row>
    <row r="42">
      <c r="A42" s="127" t="s">
        <v>65</v>
      </c>
      <c r="B42" s="128">
        <v>1447.1</v>
      </c>
      <c r="C42" s="129">
        <v>897.6</v>
      </c>
      <c r="D42" s="129">
        <v>-418.6</v>
      </c>
      <c r="E42" s="129">
        <v>1018.1</v>
      </c>
      <c r="F42" s="129">
        <v>3822.1</v>
      </c>
      <c r="G42" s="129">
        <v>3705.3</v>
      </c>
    </row>
    <row r="43">
      <c r="A43" s="136"/>
      <c r="B43" s="137"/>
      <c r="C43" s="138"/>
      <c r="D43" s="138"/>
      <c r="E43" s="138"/>
      <c r="F43" s="138"/>
      <c r="G43" s="138"/>
    </row>
    <row r="44">
      <c r="A44" s="127" t="s">
        <v>66</v>
      </c>
      <c r="B44" s="128">
        <v>1451.72</v>
      </c>
      <c r="C44" s="129">
        <v>902.71</v>
      </c>
      <c r="D44" s="129">
        <v>-415.59</v>
      </c>
      <c r="E44" s="129">
        <v>1018.1</v>
      </c>
      <c r="F44" s="129">
        <v>3785.91</v>
      </c>
      <c r="G44" s="129">
        <v>3586.37</v>
      </c>
    </row>
    <row r="45">
      <c r="A45" s="130" t="s">
        <v>67</v>
      </c>
      <c r="B45" s="131">
        <v>4.62</v>
      </c>
      <c r="C45" s="132">
        <v>5.11</v>
      </c>
      <c r="D45" s="132">
        <v>3.01</v>
      </c>
      <c r="E45" s="132">
        <v>0.0</v>
      </c>
      <c r="F45" s="132">
        <v>-36.19</v>
      </c>
      <c r="G45" s="132">
        <v>-118.93</v>
      </c>
    </row>
    <row r="46">
      <c r="A46" s="130" t="s">
        <v>68</v>
      </c>
      <c r="B46" s="131">
        <v>0.0</v>
      </c>
      <c r="C46" s="132">
        <v>0.0</v>
      </c>
      <c r="D46" s="132">
        <v>0.0</v>
      </c>
      <c r="E46" s="132">
        <v>0.0</v>
      </c>
      <c r="F46" s="132">
        <v>0.0</v>
      </c>
      <c r="G46" s="132">
        <v>0.0</v>
      </c>
    </row>
    <row r="47">
      <c r="A47" s="136"/>
      <c r="B47" s="137"/>
      <c r="C47" s="138"/>
      <c r="D47" s="138"/>
      <c r="E47" s="138"/>
      <c r="F47" s="138"/>
      <c r="G47" s="138"/>
    </row>
    <row r="48">
      <c r="A48" s="130" t="s">
        <v>69</v>
      </c>
      <c r="B48" s="131">
        <v>23.7279</v>
      </c>
      <c r="C48" s="132">
        <v>23.7279</v>
      </c>
      <c r="D48" s="132">
        <v>23.7279</v>
      </c>
      <c r="E48" s="132">
        <v>23.7279</v>
      </c>
      <c r="F48" s="132">
        <v>23.7279</v>
      </c>
      <c r="G48" s="132">
        <v>23.7279</v>
      </c>
    </row>
    <row r="49">
      <c r="A49" s="127" t="s">
        <v>70</v>
      </c>
      <c r="B49" s="139">
        <v>60.99</v>
      </c>
      <c r="C49" s="140">
        <v>37.83</v>
      </c>
      <c r="D49" s="140">
        <v>-17.64</v>
      </c>
      <c r="E49" s="140">
        <v>42.91</v>
      </c>
      <c r="F49" s="140">
        <v>161.08</v>
      </c>
      <c r="G49" s="140">
        <v>156.16</v>
      </c>
    </row>
    <row r="50">
      <c r="A50" s="127" t="s">
        <v>71</v>
      </c>
      <c r="B50" s="139">
        <v>60.99</v>
      </c>
      <c r="C50" s="140">
        <v>37.83</v>
      </c>
      <c r="D50" s="140">
        <v>-17.64</v>
      </c>
      <c r="E50" s="140">
        <v>42.91</v>
      </c>
      <c r="F50" s="140">
        <v>161.08</v>
      </c>
      <c r="G50" s="140">
        <v>156.16</v>
      </c>
    </row>
    <row r="51">
      <c r="A51" s="127" t="s">
        <v>72</v>
      </c>
      <c r="B51" s="139">
        <v>61.1819</v>
      </c>
      <c r="C51" s="140">
        <v>38.0442</v>
      </c>
      <c r="D51" s="140">
        <v>-17.5148</v>
      </c>
      <c r="E51" s="140">
        <v>42.91</v>
      </c>
      <c r="F51" s="140">
        <v>159.555</v>
      </c>
      <c r="G51" s="140">
        <v>151.1455</v>
      </c>
    </row>
    <row r="52">
      <c r="A52" s="136"/>
      <c r="B52" s="137"/>
      <c r="C52" s="138"/>
      <c r="D52" s="138"/>
      <c r="E52" s="138"/>
      <c r="F52" s="138"/>
      <c r="G52" s="138"/>
    </row>
    <row r="53">
      <c r="A53" s="130" t="s">
        <v>73</v>
      </c>
      <c r="B53" s="131">
        <v>23.7279</v>
      </c>
      <c r="C53" s="132">
        <v>23.7279</v>
      </c>
      <c r="D53" s="132">
        <v>23.7279</v>
      </c>
      <c r="E53" s="132">
        <v>23.7279</v>
      </c>
      <c r="F53" s="132">
        <v>23.7279</v>
      </c>
      <c r="G53" s="132">
        <v>23.7279</v>
      </c>
    </row>
    <row r="54">
      <c r="A54" s="127" t="s">
        <v>74</v>
      </c>
      <c r="B54" s="139">
        <v>60.99</v>
      </c>
      <c r="C54" s="140">
        <v>37.83</v>
      </c>
      <c r="D54" s="140">
        <v>-17.64</v>
      </c>
      <c r="E54" s="140">
        <v>42.91</v>
      </c>
      <c r="F54" s="140">
        <v>161.08</v>
      </c>
      <c r="G54" s="140">
        <v>156.16</v>
      </c>
    </row>
    <row r="55">
      <c r="A55" s="127" t="s">
        <v>75</v>
      </c>
      <c r="B55" s="139">
        <v>60.99</v>
      </c>
      <c r="C55" s="140">
        <v>37.83</v>
      </c>
      <c r="D55" s="140">
        <v>-17.64</v>
      </c>
      <c r="E55" s="140">
        <v>42.91</v>
      </c>
      <c r="F55" s="140">
        <v>161.08</v>
      </c>
      <c r="G55" s="140">
        <v>156.16</v>
      </c>
    </row>
    <row r="56">
      <c r="A56" s="127" t="s">
        <v>76</v>
      </c>
      <c r="B56" s="139">
        <v>61.1819</v>
      </c>
      <c r="C56" s="140">
        <v>38.0442</v>
      </c>
      <c r="D56" s="140">
        <v>-17.5148</v>
      </c>
      <c r="E56" s="140">
        <v>42.91</v>
      </c>
      <c r="F56" s="140">
        <v>159.555</v>
      </c>
      <c r="G56" s="140">
        <v>151.1455</v>
      </c>
    </row>
    <row r="57">
      <c r="A57" s="136"/>
      <c r="B57" s="137"/>
      <c r="C57" s="138"/>
      <c r="D57" s="138"/>
      <c r="E57" s="138"/>
      <c r="F57" s="138"/>
      <c r="G57" s="138"/>
    </row>
    <row r="58">
      <c r="A58" s="127" t="s">
        <v>219</v>
      </c>
      <c r="B58" s="137"/>
      <c r="C58" s="138"/>
      <c r="D58" s="138"/>
      <c r="E58" s="138"/>
      <c r="F58" s="138"/>
      <c r="G58" s="138"/>
    </row>
    <row r="59">
      <c r="A59" s="130" t="s">
        <v>153</v>
      </c>
      <c r="B59" s="141" t="s">
        <v>154</v>
      </c>
      <c r="C59" s="142" t="s">
        <v>154</v>
      </c>
      <c r="D59" s="142" t="s">
        <v>154</v>
      </c>
      <c r="E59" s="142" t="s">
        <v>154</v>
      </c>
      <c r="F59" s="142" t="s">
        <v>154</v>
      </c>
      <c r="G59" s="142" t="s">
        <v>154</v>
      </c>
    </row>
    <row r="60">
      <c r="A60" s="130" t="s">
        <v>155</v>
      </c>
      <c r="B60" s="131">
        <v>3594.0</v>
      </c>
      <c r="C60" s="132">
        <v>2935.7</v>
      </c>
      <c r="D60" s="132">
        <v>4951.3</v>
      </c>
      <c r="E60" s="132">
        <v>6990.2</v>
      </c>
      <c r="F60" s="132">
        <v>10319.8</v>
      </c>
      <c r="G60" s="132">
        <v>9376.1</v>
      </c>
    </row>
    <row r="61">
      <c r="A61" s="130" t="s">
        <v>156</v>
      </c>
      <c r="B61" s="143">
        <v>12.8392</v>
      </c>
      <c r="C61" s="144">
        <v>9.248</v>
      </c>
      <c r="D61" s="144">
        <v>15.594</v>
      </c>
      <c r="E61" s="144">
        <v>21.2589</v>
      </c>
      <c r="F61" s="144">
        <v>23.3983</v>
      </c>
      <c r="G61" s="144">
        <v>18.1278</v>
      </c>
    </row>
    <row r="62">
      <c r="A62" s="130" t="s">
        <v>157</v>
      </c>
      <c r="B62" s="131">
        <v>2619.2</v>
      </c>
      <c r="C62" s="132">
        <v>1831.1</v>
      </c>
      <c r="D62" s="132">
        <v>1744.4</v>
      </c>
      <c r="E62" s="132">
        <v>2948.6</v>
      </c>
      <c r="F62" s="132">
        <v>8796.2</v>
      </c>
      <c r="G62" s="132">
        <v>5632.4</v>
      </c>
    </row>
    <row r="63">
      <c r="A63" s="130" t="s">
        <v>158</v>
      </c>
      <c r="B63" s="131">
        <v>2449.5</v>
      </c>
      <c r="C63" s="132">
        <v>1656.8</v>
      </c>
      <c r="D63" s="132">
        <v>1328.1</v>
      </c>
      <c r="E63" s="132">
        <v>2690.2</v>
      </c>
      <c r="F63" s="132">
        <v>6366.1</v>
      </c>
      <c r="G63" s="132">
        <v>5431.3</v>
      </c>
    </row>
    <row r="64">
      <c r="A64" s="130" t="s">
        <v>220</v>
      </c>
      <c r="B64" s="143" t="s">
        <v>26</v>
      </c>
      <c r="C64" s="144" t="s">
        <v>26</v>
      </c>
      <c r="D64" s="144" t="s">
        <v>26</v>
      </c>
      <c r="E64" s="144" t="s">
        <v>26</v>
      </c>
      <c r="F64" s="144" t="s">
        <v>26</v>
      </c>
      <c r="G64" s="144" t="s">
        <v>26</v>
      </c>
    </row>
    <row r="65">
      <c r="A65" s="130" t="s">
        <v>159</v>
      </c>
      <c r="B65" s="143">
        <v>8.7506</v>
      </c>
      <c r="C65" s="144">
        <v>5.2193</v>
      </c>
      <c r="D65" s="144">
        <v>4.1828</v>
      </c>
      <c r="E65" s="144">
        <v>8.1815</v>
      </c>
      <c r="F65" s="144">
        <v>14.434</v>
      </c>
      <c r="G65" s="144">
        <v>10.5009</v>
      </c>
    </row>
    <row r="66">
      <c r="A66" s="130" t="s">
        <v>160</v>
      </c>
      <c r="B66" s="143">
        <v>5.1861</v>
      </c>
      <c r="C66" s="144">
        <v>2.8437</v>
      </c>
      <c r="D66" s="144">
        <v>-1.3089</v>
      </c>
      <c r="E66" s="144">
        <v>3.0963</v>
      </c>
      <c r="F66" s="144">
        <v>8.5839</v>
      </c>
      <c r="G66" s="144">
        <v>6.9339</v>
      </c>
    </row>
    <row r="67">
      <c r="A67" s="130" t="s">
        <v>161</v>
      </c>
      <c r="B67" s="143">
        <v>2450958.7602</v>
      </c>
      <c r="C67" s="144">
        <v>2373738.1291</v>
      </c>
      <c r="D67" s="144">
        <v>2586242.5674</v>
      </c>
      <c r="E67" s="144">
        <v>3008628.4198</v>
      </c>
      <c r="F67" s="144">
        <v>3589265.9505</v>
      </c>
      <c r="G67" s="144">
        <v>4106892.1709</v>
      </c>
    </row>
    <row r="68">
      <c r="A68" s="130" t="s">
        <v>162</v>
      </c>
      <c r="B68" s="143">
        <v>12.5</v>
      </c>
      <c r="C68" s="144">
        <v>12.5</v>
      </c>
      <c r="D68" s="144">
        <v>0.0</v>
      </c>
      <c r="E68" s="144">
        <v>15.0</v>
      </c>
      <c r="F68" s="144">
        <v>60.0</v>
      </c>
      <c r="G68" s="144">
        <v>30.0</v>
      </c>
    </row>
    <row r="69">
      <c r="A69" s="130" t="s">
        <v>163</v>
      </c>
      <c r="B69" s="131">
        <v>296.6</v>
      </c>
      <c r="C69" s="132">
        <v>296.6</v>
      </c>
      <c r="D69" s="132">
        <v>0.0</v>
      </c>
      <c r="E69" s="132">
        <v>355.919</v>
      </c>
      <c r="F69" s="132">
        <v>830.5</v>
      </c>
      <c r="G69" s="132">
        <v>711.838</v>
      </c>
    </row>
    <row r="70">
      <c r="A70" s="130" t="s">
        <v>164</v>
      </c>
      <c r="B70" s="131">
        <v>0.0</v>
      </c>
      <c r="C70" s="132">
        <v>0.0</v>
      </c>
      <c r="D70" s="132" t="s">
        <v>26</v>
      </c>
      <c r="E70" s="132" t="s">
        <v>26</v>
      </c>
      <c r="F70" s="132" t="s">
        <v>26</v>
      </c>
      <c r="G70" s="132" t="s">
        <v>26</v>
      </c>
    </row>
    <row r="71">
      <c r="A71" s="130" t="s">
        <v>165</v>
      </c>
      <c r="B71" s="131">
        <v>5845.0</v>
      </c>
      <c r="C71" s="132">
        <v>6983.6</v>
      </c>
      <c r="D71" s="132">
        <v>7335.3</v>
      </c>
      <c r="E71" s="132">
        <v>7290.3</v>
      </c>
      <c r="F71" s="132">
        <v>7654.3</v>
      </c>
      <c r="G71" s="132">
        <v>8378.2</v>
      </c>
    </row>
    <row r="72">
      <c r="A72" s="130" t="s">
        <v>166</v>
      </c>
      <c r="B72" s="131" t="s">
        <v>26</v>
      </c>
      <c r="C72" s="132" t="s">
        <v>26</v>
      </c>
      <c r="D72" s="132" t="s">
        <v>26</v>
      </c>
      <c r="E72" s="132" t="s">
        <v>26</v>
      </c>
      <c r="F72" s="132" t="s">
        <v>26</v>
      </c>
      <c r="G72" s="132" t="s">
        <v>26</v>
      </c>
    </row>
    <row r="73">
      <c r="A73" s="130" t="s">
        <v>167</v>
      </c>
      <c r="B73" s="131">
        <v>974.8</v>
      </c>
      <c r="C73" s="132">
        <v>1104.6</v>
      </c>
      <c r="D73" s="132">
        <v>3206.9</v>
      </c>
      <c r="E73" s="132">
        <v>4041.6</v>
      </c>
      <c r="F73" s="132">
        <v>1523.6</v>
      </c>
      <c r="G73" s="132">
        <v>3743.7</v>
      </c>
    </row>
    <row r="74">
      <c r="A74" s="145" t="s">
        <v>168</v>
      </c>
      <c r="B74" s="146">
        <v>2605.9</v>
      </c>
      <c r="C74" s="147">
        <v>2905.2</v>
      </c>
      <c r="D74" s="147">
        <v>677.9</v>
      </c>
      <c r="E74" s="147">
        <v>277.8</v>
      </c>
      <c r="F74" s="147">
        <v>402.5</v>
      </c>
      <c r="G74" s="147">
        <v>520.1</v>
      </c>
    </row>
    <row r="75">
      <c r="B75" s="148"/>
    </row>
    <row r="76">
      <c r="B76" s="148"/>
    </row>
    <row r="77">
      <c r="B77" s="148"/>
    </row>
    <row r="78">
      <c r="B78" s="148"/>
    </row>
    <row r="79">
      <c r="B79" s="148"/>
    </row>
    <row r="80">
      <c r="B80" s="148"/>
    </row>
    <row r="81">
      <c r="B81" s="148"/>
    </row>
    <row r="82">
      <c r="B82" s="148"/>
    </row>
    <row r="83">
      <c r="B83" s="148"/>
    </row>
    <row r="84">
      <c r="B84" s="148"/>
    </row>
    <row r="85">
      <c r="B85" s="148"/>
    </row>
    <row r="86">
      <c r="B86" s="148"/>
    </row>
    <row r="87">
      <c r="B87" s="148"/>
    </row>
    <row r="88">
      <c r="B88" s="148"/>
    </row>
    <row r="89">
      <c r="B89" s="148"/>
    </row>
    <row r="90">
      <c r="B90" s="148"/>
    </row>
    <row r="91">
      <c r="B91" s="148"/>
    </row>
    <row r="92">
      <c r="B92" s="148"/>
    </row>
    <row r="93">
      <c r="B93" s="148"/>
    </row>
    <row r="94">
      <c r="B94" s="148"/>
    </row>
    <row r="95">
      <c r="B95" s="148"/>
    </row>
    <row r="96">
      <c r="B96" s="148"/>
    </row>
    <row r="97">
      <c r="B97" s="148"/>
    </row>
    <row r="98">
      <c r="B98" s="148"/>
    </row>
    <row r="99">
      <c r="B99" s="148"/>
    </row>
    <row r="100">
      <c r="B100" s="148"/>
    </row>
    <row r="101">
      <c r="B101" s="148"/>
    </row>
    <row r="102">
      <c r="B102" s="148"/>
    </row>
    <row r="103">
      <c r="B103" s="148"/>
    </row>
    <row r="104">
      <c r="B104" s="148"/>
    </row>
    <row r="105">
      <c r="B105" s="148"/>
    </row>
    <row r="106">
      <c r="B106" s="148"/>
    </row>
    <row r="107">
      <c r="B107" s="148"/>
    </row>
    <row r="108">
      <c r="B108" s="148"/>
    </row>
    <row r="109">
      <c r="B109" s="148"/>
    </row>
    <row r="110">
      <c r="B110" s="148"/>
    </row>
    <row r="111">
      <c r="B111" s="148"/>
    </row>
    <row r="112">
      <c r="B112" s="148"/>
    </row>
    <row r="113">
      <c r="B113" s="148"/>
    </row>
    <row r="114">
      <c r="B114" s="148"/>
    </row>
    <row r="115">
      <c r="B115" s="148"/>
    </row>
    <row r="116">
      <c r="B116" s="148"/>
    </row>
    <row r="117">
      <c r="B117" s="148"/>
    </row>
    <row r="118">
      <c r="B118" s="148"/>
    </row>
    <row r="119">
      <c r="B119" s="148"/>
    </row>
    <row r="120">
      <c r="B120" s="148"/>
    </row>
    <row r="121">
      <c r="B121" s="148"/>
    </row>
    <row r="122">
      <c r="B122" s="148"/>
    </row>
    <row r="123">
      <c r="B123" s="148"/>
    </row>
    <row r="124">
      <c r="B124" s="148"/>
    </row>
    <row r="125">
      <c r="B125" s="148"/>
    </row>
    <row r="126">
      <c r="B126" s="148"/>
    </row>
    <row r="127">
      <c r="B127" s="148"/>
    </row>
    <row r="128">
      <c r="B128" s="148"/>
    </row>
    <row r="129">
      <c r="B129" s="148"/>
    </row>
    <row r="130">
      <c r="B130" s="148"/>
    </row>
    <row r="131">
      <c r="B131" s="148"/>
    </row>
    <row r="132">
      <c r="B132" s="148"/>
    </row>
    <row r="133">
      <c r="B133" s="148"/>
    </row>
    <row r="134">
      <c r="B134" s="148"/>
    </row>
    <row r="135">
      <c r="B135" s="148"/>
    </row>
    <row r="136">
      <c r="B136" s="148"/>
    </row>
    <row r="137">
      <c r="B137" s="148"/>
    </row>
    <row r="138">
      <c r="B138" s="148"/>
    </row>
    <row r="139">
      <c r="B139" s="148"/>
    </row>
    <row r="140">
      <c r="B140" s="148"/>
    </row>
    <row r="141">
      <c r="B141" s="148"/>
    </row>
    <row r="142">
      <c r="B142" s="148"/>
    </row>
    <row r="143">
      <c r="B143" s="148"/>
    </row>
    <row r="144">
      <c r="B144" s="148"/>
    </row>
    <row r="145">
      <c r="B145" s="148"/>
    </row>
    <row r="146">
      <c r="B146" s="148"/>
    </row>
    <row r="147">
      <c r="B147" s="148"/>
    </row>
    <row r="148">
      <c r="B148" s="148"/>
    </row>
    <row r="149">
      <c r="B149" s="148"/>
    </row>
    <row r="150">
      <c r="B150" s="148"/>
    </row>
    <row r="151">
      <c r="B151" s="148"/>
    </row>
    <row r="152">
      <c r="B152" s="148"/>
    </row>
    <row r="153">
      <c r="B153" s="148"/>
    </row>
    <row r="154">
      <c r="B154" s="148"/>
    </row>
    <row r="155">
      <c r="B155" s="148"/>
    </row>
    <row r="156">
      <c r="B156" s="148"/>
    </row>
    <row r="157">
      <c r="B157" s="148"/>
    </row>
    <row r="158">
      <c r="B158" s="148"/>
    </row>
    <row r="159">
      <c r="B159" s="148"/>
    </row>
    <row r="160">
      <c r="B160" s="148"/>
    </row>
    <row r="161">
      <c r="B161" s="148"/>
    </row>
    <row r="162">
      <c r="B162" s="148"/>
    </row>
    <row r="163">
      <c r="B163" s="148"/>
    </row>
    <row r="164">
      <c r="B164" s="148"/>
    </row>
    <row r="165">
      <c r="B165" s="148"/>
    </row>
    <row r="166">
      <c r="B166" s="148"/>
    </row>
    <row r="167">
      <c r="B167" s="148"/>
    </row>
    <row r="168">
      <c r="B168" s="148"/>
    </row>
    <row r="169">
      <c r="B169" s="148"/>
    </row>
    <row r="170">
      <c r="B170" s="148"/>
    </row>
    <row r="171">
      <c r="B171" s="148"/>
    </row>
    <row r="172">
      <c r="B172" s="148"/>
    </row>
    <row r="173">
      <c r="B173" s="148"/>
    </row>
    <row r="174">
      <c r="B174" s="148"/>
    </row>
    <row r="175">
      <c r="B175" s="148"/>
    </row>
    <row r="176">
      <c r="B176" s="148"/>
    </row>
    <row r="177">
      <c r="B177" s="148"/>
    </row>
    <row r="178">
      <c r="B178" s="148"/>
    </row>
    <row r="179">
      <c r="B179" s="148"/>
    </row>
    <row r="180">
      <c r="B180" s="148"/>
    </row>
    <row r="181">
      <c r="B181" s="148"/>
    </row>
    <row r="182">
      <c r="B182" s="148"/>
    </row>
    <row r="183">
      <c r="B183" s="148"/>
    </row>
    <row r="184">
      <c r="B184" s="148"/>
    </row>
    <row r="185">
      <c r="B185" s="148"/>
    </row>
    <row r="186">
      <c r="B186" s="148"/>
    </row>
    <row r="187">
      <c r="B187" s="148"/>
    </row>
    <row r="188">
      <c r="B188" s="148"/>
    </row>
    <row r="189">
      <c r="B189" s="148"/>
    </row>
    <row r="190">
      <c r="B190" s="148"/>
    </row>
    <row r="191">
      <c r="B191" s="148"/>
    </row>
    <row r="192">
      <c r="B192" s="148"/>
    </row>
    <row r="193">
      <c r="B193" s="148"/>
    </row>
    <row r="194">
      <c r="B194" s="148"/>
    </row>
    <row r="195">
      <c r="B195" s="148"/>
    </row>
    <row r="196">
      <c r="B196" s="148"/>
    </row>
    <row r="197">
      <c r="B197" s="148"/>
    </row>
    <row r="198">
      <c r="B198" s="148"/>
    </row>
    <row r="199">
      <c r="B199" s="148"/>
    </row>
    <row r="200">
      <c r="B200" s="148"/>
    </row>
    <row r="201">
      <c r="B201" s="148"/>
    </row>
    <row r="202">
      <c r="B202" s="148"/>
    </row>
    <row r="203">
      <c r="B203" s="148"/>
    </row>
    <row r="204">
      <c r="B204" s="148"/>
    </row>
    <row r="205">
      <c r="B205" s="148"/>
    </row>
    <row r="206">
      <c r="B206" s="148"/>
    </row>
    <row r="207">
      <c r="B207" s="148"/>
    </row>
    <row r="208">
      <c r="B208" s="148"/>
    </row>
    <row r="209">
      <c r="B209" s="148"/>
    </row>
    <row r="210">
      <c r="B210" s="148"/>
    </row>
    <row r="211">
      <c r="B211" s="148"/>
    </row>
    <row r="212">
      <c r="B212" s="148"/>
    </row>
    <row r="213">
      <c r="B213" s="148"/>
    </row>
    <row r="214">
      <c r="B214" s="148"/>
    </row>
    <row r="215">
      <c r="B215" s="148"/>
    </row>
    <row r="216">
      <c r="B216" s="148"/>
    </row>
    <row r="217">
      <c r="B217" s="148"/>
    </row>
    <row r="218">
      <c r="B218" s="148"/>
    </row>
    <row r="219">
      <c r="B219" s="148"/>
    </row>
    <row r="220">
      <c r="B220" s="148"/>
    </row>
    <row r="221">
      <c r="B221" s="148"/>
    </row>
    <row r="222">
      <c r="B222" s="148"/>
    </row>
    <row r="223">
      <c r="B223" s="148"/>
    </row>
    <row r="224">
      <c r="B224" s="148"/>
    </row>
    <row r="225">
      <c r="B225" s="148"/>
    </row>
    <row r="226">
      <c r="B226" s="148"/>
    </row>
    <row r="227">
      <c r="B227" s="148"/>
    </row>
    <row r="228">
      <c r="B228" s="148"/>
    </row>
    <row r="229">
      <c r="B229" s="148"/>
    </row>
    <row r="230">
      <c r="B230" s="148"/>
    </row>
    <row r="231">
      <c r="B231" s="148"/>
    </row>
    <row r="232">
      <c r="B232" s="148"/>
    </row>
    <row r="233">
      <c r="B233" s="148"/>
    </row>
    <row r="234">
      <c r="B234" s="148"/>
    </row>
    <row r="235">
      <c r="B235" s="148"/>
    </row>
    <row r="236">
      <c r="B236" s="148"/>
    </row>
    <row r="237">
      <c r="B237" s="148"/>
    </row>
    <row r="238">
      <c r="B238" s="148"/>
    </row>
    <row r="239">
      <c r="B239" s="148"/>
    </row>
    <row r="240">
      <c r="B240" s="148"/>
    </row>
    <row r="241">
      <c r="B241" s="148"/>
    </row>
    <row r="242">
      <c r="B242" s="148"/>
    </row>
    <row r="243">
      <c r="B243" s="148"/>
    </row>
    <row r="244">
      <c r="B244" s="148"/>
    </row>
    <row r="245">
      <c r="B245" s="148"/>
    </row>
    <row r="246">
      <c r="B246" s="148"/>
    </row>
    <row r="247">
      <c r="B247" s="148"/>
    </row>
    <row r="248">
      <c r="B248" s="148"/>
    </row>
    <row r="249">
      <c r="B249" s="148"/>
    </row>
    <row r="250">
      <c r="B250" s="148"/>
    </row>
    <row r="251">
      <c r="B251" s="148"/>
    </row>
    <row r="252">
      <c r="B252" s="148"/>
    </row>
    <row r="253">
      <c r="B253" s="148"/>
    </row>
    <row r="254">
      <c r="B254" s="148"/>
    </row>
    <row r="255">
      <c r="B255" s="148"/>
    </row>
    <row r="256">
      <c r="B256" s="148"/>
    </row>
    <row r="257">
      <c r="B257" s="148"/>
    </row>
    <row r="258">
      <c r="B258" s="148"/>
    </row>
    <row r="259">
      <c r="B259" s="148"/>
    </row>
    <row r="260">
      <c r="B260" s="148"/>
    </row>
    <row r="261">
      <c r="B261" s="148"/>
    </row>
    <row r="262">
      <c r="B262" s="148"/>
    </row>
    <row r="263">
      <c r="B263" s="148"/>
    </row>
    <row r="264">
      <c r="B264" s="148"/>
    </row>
    <row r="265">
      <c r="B265" s="148"/>
    </row>
    <row r="266">
      <c r="B266" s="148"/>
    </row>
    <row r="267">
      <c r="B267" s="148"/>
    </row>
    <row r="268">
      <c r="B268" s="148"/>
    </row>
    <row r="269">
      <c r="B269" s="148"/>
    </row>
    <row r="270">
      <c r="B270" s="148"/>
    </row>
    <row r="271">
      <c r="B271" s="148"/>
    </row>
    <row r="272">
      <c r="B272" s="148"/>
    </row>
    <row r="273">
      <c r="B273" s="148"/>
    </row>
    <row r="274">
      <c r="B274" s="148"/>
    </row>
    <row r="275">
      <c r="B275" s="148"/>
    </row>
    <row r="276">
      <c r="B276" s="148"/>
    </row>
    <row r="277">
      <c r="B277" s="148"/>
    </row>
    <row r="278">
      <c r="B278" s="148"/>
    </row>
    <row r="279">
      <c r="B279" s="148"/>
    </row>
    <row r="280">
      <c r="B280" s="148"/>
    </row>
    <row r="281">
      <c r="B281" s="148"/>
    </row>
    <row r="282">
      <c r="B282" s="148"/>
    </row>
    <row r="283">
      <c r="B283" s="148"/>
    </row>
    <row r="284">
      <c r="B284" s="148"/>
    </row>
    <row r="285">
      <c r="B285" s="148"/>
    </row>
    <row r="286">
      <c r="B286" s="148"/>
    </row>
    <row r="287">
      <c r="B287" s="148"/>
    </row>
    <row r="288">
      <c r="B288" s="148"/>
    </row>
    <row r="289">
      <c r="B289" s="148"/>
    </row>
    <row r="290">
      <c r="B290" s="148"/>
    </row>
    <row r="291">
      <c r="B291" s="148"/>
    </row>
    <row r="292">
      <c r="B292" s="148"/>
    </row>
    <row r="293">
      <c r="B293" s="148"/>
    </row>
    <row r="294">
      <c r="B294" s="148"/>
    </row>
    <row r="295">
      <c r="B295" s="148"/>
    </row>
    <row r="296">
      <c r="B296" s="148"/>
    </row>
    <row r="297">
      <c r="B297" s="148"/>
    </row>
    <row r="298">
      <c r="B298" s="148"/>
    </row>
    <row r="299">
      <c r="B299" s="148"/>
    </row>
    <row r="300">
      <c r="B300" s="148"/>
    </row>
    <row r="301">
      <c r="B301" s="148"/>
    </row>
    <row r="302">
      <c r="B302" s="148"/>
    </row>
    <row r="303">
      <c r="B303" s="148"/>
    </row>
    <row r="304">
      <c r="B304" s="148"/>
    </row>
    <row r="305">
      <c r="B305" s="148"/>
    </row>
    <row r="306">
      <c r="B306" s="148"/>
    </row>
    <row r="307">
      <c r="B307" s="148"/>
    </row>
    <row r="308">
      <c r="B308" s="148"/>
    </row>
    <row r="309">
      <c r="B309" s="148"/>
    </row>
    <row r="310">
      <c r="B310" s="148"/>
    </row>
    <row r="311">
      <c r="B311" s="148"/>
    </row>
    <row r="312">
      <c r="B312" s="148"/>
    </row>
    <row r="313">
      <c r="B313" s="148"/>
    </row>
    <row r="314">
      <c r="B314" s="148"/>
    </row>
    <row r="315">
      <c r="B315" s="148"/>
    </row>
    <row r="316">
      <c r="B316" s="148"/>
    </row>
    <row r="317">
      <c r="B317" s="148"/>
    </row>
    <row r="318">
      <c r="B318" s="148"/>
    </row>
    <row r="319">
      <c r="B319" s="148"/>
    </row>
    <row r="320">
      <c r="B320" s="148"/>
    </row>
    <row r="321">
      <c r="B321" s="148"/>
    </row>
    <row r="322">
      <c r="B322" s="148"/>
    </row>
    <row r="323">
      <c r="B323" s="148"/>
    </row>
    <row r="324">
      <c r="B324" s="148"/>
    </row>
    <row r="325">
      <c r="B325" s="148"/>
    </row>
    <row r="326">
      <c r="B326" s="148"/>
    </row>
    <row r="327">
      <c r="B327" s="148"/>
    </row>
    <row r="328">
      <c r="B328" s="148"/>
    </row>
    <row r="329">
      <c r="B329" s="148"/>
    </row>
    <row r="330">
      <c r="B330" s="148"/>
    </row>
    <row r="331">
      <c r="B331" s="148"/>
    </row>
    <row r="332">
      <c r="B332" s="148"/>
    </row>
    <row r="333">
      <c r="B333" s="148"/>
    </row>
    <row r="334">
      <c r="B334" s="148"/>
    </row>
    <row r="335">
      <c r="B335" s="148"/>
    </row>
    <row r="336">
      <c r="B336" s="148"/>
    </row>
    <row r="337">
      <c r="B337" s="148"/>
    </row>
    <row r="338">
      <c r="B338" s="148"/>
    </row>
    <row r="339">
      <c r="B339" s="148"/>
    </row>
    <row r="340">
      <c r="B340" s="148"/>
    </row>
    <row r="341">
      <c r="B341" s="148"/>
    </row>
    <row r="342">
      <c r="B342" s="148"/>
    </row>
    <row r="343">
      <c r="B343" s="148"/>
    </row>
    <row r="344">
      <c r="B344" s="148"/>
    </row>
    <row r="345">
      <c r="B345" s="148"/>
    </row>
    <row r="346">
      <c r="B346" s="148"/>
    </row>
    <row r="347">
      <c r="B347" s="148"/>
    </row>
    <row r="348">
      <c r="B348" s="148"/>
    </row>
    <row r="349">
      <c r="B349" s="148"/>
    </row>
    <row r="350">
      <c r="B350" s="148"/>
    </row>
    <row r="351">
      <c r="B351" s="148"/>
    </row>
    <row r="352">
      <c r="B352" s="148"/>
    </row>
    <row r="353">
      <c r="B353" s="148"/>
    </row>
    <row r="354">
      <c r="B354" s="148"/>
    </row>
    <row r="355">
      <c r="B355" s="148"/>
    </row>
    <row r="356">
      <c r="B356" s="148"/>
    </row>
    <row r="357">
      <c r="B357" s="148"/>
    </row>
    <row r="358">
      <c r="B358" s="148"/>
    </row>
    <row r="359">
      <c r="B359" s="148"/>
    </row>
    <row r="360">
      <c r="B360" s="148"/>
    </row>
    <row r="361">
      <c r="B361" s="148"/>
    </row>
    <row r="362">
      <c r="B362" s="148"/>
    </row>
    <row r="363">
      <c r="B363" s="148"/>
    </row>
    <row r="364">
      <c r="B364" s="148"/>
    </row>
    <row r="365">
      <c r="B365" s="148"/>
    </row>
    <row r="366">
      <c r="B366" s="148"/>
    </row>
    <row r="367">
      <c r="B367" s="148"/>
    </row>
    <row r="368">
      <c r="B368" s="148"/>
    </row>
    <row r="369">
      <c r="B369" s="148"/>
    </row>
    <row r="370">
      <c r="B370" s="148"/>
    </row>
    <row r="371">
      <c r="B371" s="148"/>
    </row>
    <row r="372">
      <c r="B372" s="148"/>
    </row>
    <row r="373">
      <c r="B373" s="148"/>
    </row>
    <row r="374">
      <c r="B374" s="148"/>
    </row>
    <row r="375">
      <c r="B375" s="148"/>
    </row>
    <row r="376">
      <c r="B376" s="148"/>
    </row>
    <row r="377">
      <c r="B377" s="148"/>
    </row>
    <row r="378">
      <c r="B378" s="148"/>
    </row>
    <row r="379">
      <c r="B379" s="148"/>
    </row>
    <row r="380">
      <c r="B380" s="148"/>
    </row>
    <row r="381">
      <c r="B381" s="148"/>
    </row>
    <row r="382">
      <c r="B382" s="148"/>
    </row>
    <row r="383">
      <c r="B383" s="148"/>
    </row>
    <row r="384">
      <c r="B384" s="148"/>
    </row>
    <row r="385">
      <c r="B385" s="148"/>
    </row>
    <row r="386">
      <c r="B386" s="148"/>
    </row>
    <row r="387">
      <c r="B387" s="148"/>
    </row>
    <row r="388">
      <c r="B388" s="148"/>
    </row>
    <row r="389">
      <c r="B389" s="148"/>
    </row>
    <row r="390">
      <c r="B390" s="148"/>
    </row>
    <row r="391">
      <c r="B391" s="148"/>
    </row>
    <row r="392">
      <c r="B392" s="148"/>
    </row>
    <row r="393">
      <c r="B393" s="148"/>
    </row>
    <row r="394">
      <c r="B394" s="148"/>
    </row>
    <row r="395">
      <c r="B395" s="148"/>
    </row>
    <row r="396">
      <c r="B396" s="148"/>
    </row>
    <row r="397">
      <c r="B397" s="148"/>
    </row>
    <row r="398">
      <c r="B398" s="148"/>
    </row>
    <row r="399">
      <c r="B399" s="148"/>
    </row>
    <row r="400">
      <c r="B400" s="148"/>
    </row>
    <row r="401">
      <c r="B401" s="148"/>
    </row>
    <row r="402">
      <c r="B402" s="148"/>
    </row>
    <row r="403">
      <c r="B403" s="148"/>
    </row>
    <row r="404">
      <c r="B404" s="148"/>
    </row>
    <row r="405">
      <c r="B405" s="148"/>
    </row>
    <row r="406">
      <c r="B406" s="148"/>
    </row>
    <row r="407">
      <c r="B407" s="148"/>
    </row>
    <row r="408">
      <c r="B408" s="148"/>
    </row>
    <row r="409">
      <c r="B409" s="148"/>
    </row>
    <row r="410">
      <c r="B410" s="148"/>
    </row>
    <row r="411">
      <c r="B411" s="148"/>
    </row>
    <row r="412">
      <c r="B412" s="148"/>
    </row>
    <row r="413">
      <c r="B413" s="148"/>
    </row>
    <row r="414">
      <c r="B414" s="148"/>
    </row>
    <row r="415">
      <c r="B415" s="148"/>
    </row>
    <row r="416">
      <c r="B416" s="148"/>
    </row>
    <row r="417">
      <c r="B417" s="148"/>
    </row>
    <row r="418">
      <c r="B418" s="148"/>
    </row>
    <row r="419">
      <c r="B419" s="148"/>
    </row>
    <row r="420">
      <c r="B420" s="148"/>
    </row>
    <row r="421">
      <c r="B421" s="148"/>
    </row>
    <row r="422">
      <c r="B422" s="148"/>
    </row>
    <row r="423">
      <c r="B423" s="148"/>
    </row>
    <row r="424">
      <c r="B424" s="148"/>
    </row>
    <row r="425">
      <c r="B425" s="148"/>
    </row>
    <row r="426">
      <c r="B426" s="148"/>
    </row>
    <row r="427">
      <c r="B427" s="148"/>
    </row>
    <row r="428">
      <c r="B428" s="148"/>
    </row>
    <row r="429">
      <c r="B429" s="148"/>
    </row>
    <row r="430">
      <c r="B430" s="148"/>
    </row>
    <row r="431">
      <c r="B431" s="148"/>
    </row>
    <row r="432">
      <c r="B432" s="148"/>
    </row>
    <row r="433">
      <c r="B433" s="148"/>
    </row>
    <row r="434">
      <c r="B434" s="148"/>
    </row>
    <row r="435">
      <c r="B435" s="148"/>
    </row>
    <row r="436">
      <c r="B436" s="148"/>
    </row>
    <row r="437">
      <c r="B437" s="148"/>
    </row>
    <row r="438">
      <c r="B438" s="148"/>
    </row>
    <row r="439">
      <c r="B439" s="148"/>
    </row>
    <row r="440">
      <c r="B440" s="148"/>
    </row>
    <row r="441">
      <c r="B441" s="148"/>
    </row>
    <row r="442">
      <c r="B442" s="148"/>
    </row>
    <row r="443">
      <c r="B443" s="148"/>
    </row>
    <row r="444">
      <c r="B444" s="148"/>
    </row>
    <row r="445">
      <c r="B445" s="148"/>
    </row>
    <row r="446">
      <c r="B446" s="148"/>
    </row>
    <row r="447">
      <c r="B447" s="148"/>
    </row>
    <row r="448">
      <c r="B448" s="148"/>
    </row>
    <row r="449">
      <c r="B449" s="148"/>
    </row>
    <row r="450">
      <c r="B450" s="148"/>
    </row>
    <row r="451">
      <c r="B451" s="148"/>
    </row>
    <row r="452">
      <c r="B452" s="148"/>
    </row>
    <row r="453">
      <c r="B453" s="148"/>
    </row>
    <row r="454">
      <c r="B454" s="148"/>
    </row>
    <row r="455">
      <c r="B455" s="148"/>
    </row>
    <row r="456">
      <c r="B456" s="148"/>
    </row>
    <row r="457">
      <c r="B457" s="148"/>
    </row>
    <row r="458">
      <c r="B458" s="148"/>
    </row>
    <row r="459">
      <c r="B459" s="148"/>
    </row>
    <row r="460">
      <c r="B460" s="148"/>
    </row>
    <row r="461">
      <c r="B461" s="148"/>
    </row>
    <row r="462">
      <c r="B462" s="148"/>
    </row>
    <row r="463">
      <c r="B463" s="148"/>
    </row>
    <row r="464">
      <c r="B464" s="148"/>
    </row>
    <row r="465">
      <c r="B465" s="148"/>
    </row>
    <row r="466">
      <c r="B466" s="148"/>
    </row>
    <row r="467">
      <c r="B467" s="148"/>
    </row>
    <row r="468">
      <c r="B468" s="148"/>
    </row>
    <row r="469">
      <c r="B469" s="148"/>
    </row>
    <row r="470">
      <c r="B470" s="148"/>
    </row>
    <row r="471">
      <c r="B471" s="148"/>
    </row>
    <row r="472">
      <c r="B472" s="148"/>
    </row>
    <row r="473">
      <c r="B473" s="148"/>
    </row>
    <row r="474">
      <c r="B474" s="148"/>
    </row>
    <row r="475">
      <c r="B475" s="148"/>
    </row>
    <row r="476">
      <c r="B476" s="148"/>
    </row>
    <row r="477">
      <c r="B477" s="148"/>
    </row>
    <row r="478">
      <c r="B478" s="148"/>
    </row>
    <row r="479">
      <c r="B479" s="148"/>
    </row>
    <row r="480">
      <c r="B480" s="148"/>
    </row>
    <row r="481">
      <c r="B481" s="148"/>
    </row>
    <row r="482">
      <c r="B482" s="148"/>
    </row>
    <row r="483">
      <c r="B483" s="148"/>
    </row>
    <row r="484">
      <c r="B484" s="148"/>
    </row>
    <row r="485">
      <c r="B485" s="148"/>
    </row>
    <row r="486">
      <c r="B486" s="148"/>
    </row>
    <row r="487">
      <c r="B487" s="148"/>
    </row>
    <row r="488">
      <c r="B488" s="148"/>
    </row>
    <row r="489">
      <c r="B489" s="148"/>
    </row>
    <row r="490">
      <c r="B490" s="148"/>
    </row>
    <row r="491">
      <c r="B491" s="148"/>
    </row>
    <row r="492">
      <c r="B492" s="148"/>
    </row>
    <row r="493">
      <c r="B493" s="148"/>
    </row>
    <row r="494">
      <c r="B494" s="148"/>
    </row>
    <row r="495">
      <c r="B495" s="148"/>
    </row>
    <row r="496">
      <c r="B496" s="148"/>
    </row>
    <row r="497">
      <c r="B497" s="148"/>
    </row>
    <row r="498">
      <c r="B498" s="148"/>
    </row>
    <row r="499">
      <c r="B499" s="148"/>
    </row>
    <row r="500">
      <c r="B500" s="148"/>
    </row>
    <row r="501">
      <c r="B501" s="148"/>
    </row>
    <row r="502">
      <c r="B502" s="148"/>
    </row>
    <row r="503">
      <c r="B503" s="148"/>
    </row>
    <row r="504">
      <c r="B504" s="148"/>
    </row>
    <row r="505">
      <c r="B505" s="148"/>
    </row>
    <row r="506">
      <c r="B506" s="148"/>
    </row>
    <row r="507">
      <c r="B507" s="148"/>
    </row>
    <row r="508">
      <c r="B508" s="148"/>
    </row>
    <row r="509">
      <c r="B509" s="148"/>
    </row>
    <row r="510">
      <c r="B510" s="148"/>
    </row>
    <row r="511">
      <c r="B511" s="148"/>
    </row>
    <row r="512">
      <c r="B512" s="148"/>
    </row>
    <row r="513">
      <c r="B513" s="148"/>
    </row>
    <row r="514">
      <c r="B514" s="148"/>
    </row>
    <row r="515">
      <c r="B515" s="148"/>
    </row>
    <row r="516">
      <c r="B516" s="148"/>
    </row>
    <row r="517">
      <c r="B517" s="148"/>
    </row>
    <row r="518">
      <c r="B518" s="148"/>
    </row>
    <row r="519">
      <c r="B519" s="148"/>
    </row>
    <row r="520">
      <c r="B520" s="148"/>
    </row>
    <row r="521">
      <c r="B521" s="148"/>
    </row>
    <row r="522">
      <c r="B522" s="148"/>
    </row>
    <row r="523">
      <c r="B523" s="148"/>
    </row>
    <row r="524">
      <c r="B524" s="148"/>
    </row>
    <row r="525">
      <c r="B525" s="148"/>
    </row>
    <row r="526">
      <c r="B526" s="148"/>
    </row>
    <row r="527">
      <c r="B527" s="148"/>
    </row>
    <row r="528">
      <c r="B528" s="148"/>
    </row>
    <row r="529">
      <c r="B529" s="148"/>
    </row>
    <row r="530">
      <c r="B530" s="148"/>
    </row>
    <row r="531">
      <c r="B531" s="148"/>
    </row>
    <row r="532">
      <c r="B532" s="148"/>
    </row>
    <row r="533">
      <c r="B533" s="148"/>
    </row>
    <row r="534">
      <c r="B534" s="148"/>
    </row>
    <row r="535">
      <c r="B535" s="148"/>
    </row>
    <row r="536">
      <c r="B536" s="148"/>
    </row>
    <row r="537">
      <c r="B537" s="148"/>
    </row>
    <row r="538">
      <c r="B538" s="148"/>
    </row>
    <row r="539">
      <c r="B539" s="148"/>
    </row>
    <row r="540">
      <c r="B540" s="148"/>
    </row>
    <row r="541">
      <c r="B541" s="148"/>
    </row>
    <row r="542">
      <c r="B542" s="148"/>
    </row>
    <row r="543">
      <c r="B543" s="148"/>
    </row>
    <row r="544">
      <c r="B544" s="148"/>
    </row>
    <row r="545">
      <c r="B545" s="148"/>
    </row>
    <row r="546">
      <c r="B546" s="148"/>
    </row>
    <row r="547">
      <c r="B547" s="148"/>
    </row>
    <row r="548">
      <c r="B548" s="148"/>
    </row>
    <row r="549">
      <c r="B549" s="148"/>
    </row>
    <row r="550">
      <c r="B550" s="148"/>
    </row>
    <row r="551">
      <c r="B551" s="148"/>
    </row>
    <row r="552">
      <c r="B552" s="148"/>
    </row>
    <row r="553">
      <c r="B553" s="148"/>
    </row>
    <row r="554">
      <c r="B554" s="148"/>
    </row>
    <row r="555">
      <c r="B555" s="148"/>
    </row>
    <row r="556">
      <c r="B556" s="148"/>
    </row>
    <row r="557">
      <c r="B557" s="148"/>
    </row>
    <row r="558">
      <c r="B558" s="148"/>
    </row>
    <row r="559">
      <c r="B559" s="148"/>
    </row>
    <row r="560">
      <c r="B560" s="148"/>
    </row>
    <row r="561">
      <c r="B561" s="148"/>
    </row>
    <row r="562">
      <c r="B562" s="148"/>
    </row>
    <row r="563">
      <c r="B563" s="148"/>
    </row>
    <row r="564">
      <c r="B564" s="148"/>
    </row>
    <row r="565">
      <c r="B565" s="148"/>
    </row>
    <row r="566">
      <c r="B566" s="148"/>
    </row>
    <row r="567">
      <c r="B567" s="148"/>
    </row>
    <row r="568">
      <c r="B568" s="148"/>
    </row>
    <row r="569">
      <c r="B569" s="148"/>
    </row>
    <row r="570">
      <c r="B570" s="148"/>
    </row>
    <row r="571">
      <c r="B571" s="148"/>
    </row>
    <row r="572">
      <c r="B572" s="148"/>
    </row>
    <row r="573">
      <c r="B573" s="148"/>
    </row>
    <row r="574">
      <c r="B574" s="148"/>
    </row>
    <row r="575">
      <c r="B575" s="148"/>
    </row>
    <row r="576">
      <c r="B576" s="148"/>
    </row>
    <row r="577">
      <c r="B577" s="148"/>
    </row>
    <row r="578">
      <c r="B578" s="148"/>
    </row>
    <row r="579">
      <c r="B579" s="148"/>
    </row>
    <row r="580">
      <c r="B580" s="148"/>
    </row>
    <row r="581">
      <c r="B581" s="148"/>
    </row>
    <row r="582">
      <c r="B582" s="148"/>
    </row>
    <row r="583">
      <c r="B583" s="148"/>
    </row>
    <row r="584">
      <c r="B584" s="148"/>
    </row>
    <row r="585">
      <c r="B585" s="148"/>
    </row>
    <row r="586">
      <c r="B586" s="148"/>
    </row>
    <row r="587">
      <c r="B587" s="148"/>
    </row>
    <row r="588">
      <c r="B588" s="148"/>
    </row>
    <row r="589">
      <c r="B589" s="148"/>
    </row>
    <row r="590">
      <c r="B590" s="148"/>
    </row>
    <row r="591">
      <c r="B591" s="148"/>
    </row>
    <row r="592">
      <c r="B592" s="148"/>
    </row>
    <row r="593">
      <c r="B593" s="148"/>
    </row>
    <row r="594">
      <c r="B594" s="148"/>
    </row>
    <row r="595">
      <c r="B595" s="148"/>
    </row>
    <row r="596">
      <c r="B596" s="148"/>
    </row>
    <row r="597">
      <c r="B597" s="148"/>
    </row>
    <row r="598">
      <c r="B598" s="148"/>
    </row>
    <row r="599">
      <c r="B599" s="148"/>
    </row>
    <row r="600">
      <c r="B600" s="148"/>
    </row>
    <row r="601">
      <c r="B601" s="148"/>
    </row>
    <row r="602">
      <c r="B602" s="148"/>
    </row>
    <row r="603">
      <c r="B603" s="148"/>
    </row>
    <row r="604">
      <c r="B604" s="148"/>
    </row>
    <row r="605">
      <c r="B605" s="148"/>
    </row>
    <row r="606">
      <c r="B606" s="148"/>
    </row>
    <row r="607">
      <c r="B607" s="148"/>
    </row>
    <row r="608">
      <c r="B608" s="148"/>
    </row>
    <row r="609">
      <c r="B609" s="148"/>
    </row>
    <row r="610">
      <c r="B610" s="148"/>
    </row>
    <row r="611">
      <c r="B611" s="148"/>
    </row>
    <row r="612">
      <c r="B612" s="148"/>
    </row>
    <row r="613">
      <c r="B613" s="148"/>
    </row>
    <row r="614">
      <c r="B614" s="148"/>
    </row>
    <row r="615">
      <c r="B615" s="148"/>
    </row>
    <row r="616">
      <c r="B616" s="148"/>
    </row>
    <row r="617">
      <c r="B617" s="148"/>
    </row>
    <row r="618">
      <c r="B618" s="148"/>
    </row>
    <row r="619">
      <c r="B619" s="148"/>
    </row>
    <row r="620">
      <c r="B620" s="148"/>
    </row>
    <row r="621">
      <c r="B621" s="148"/>
    </row>
    <row r="622">
      <c r="B622" s="148"/>
    </row>
    <row r="623">
      <c r="B623" s="148"/>
    </row>
    <row r="624">
      <c r="B624" s="148"/>
    </row>
    <row r="625">
      <c r="B625" s="148"/>
    </row>
    <row r="626">
      <c r="B626" s="148"/>
    </row>
    <row r="627">
      <c r="B627" s="148"/>
    </row>
    <row r="628">
      <c r="B628" s="148"/>
    </row>
    <row r="629">
      <c r="B629" s="148"/>
    </row>
    <row r="630">
      <c r="B630" s="148"/>
    </row>
    <row r="631">
      <c r="B631" s="148"/>
    </row>
    <row r="632">
      <c r="B632" s="148"/>
    </row>
    <row r="633">
      <c r="B633" s="148"/>
    </row>
    <row r="634">
      <c r="B634" s="148"/>
    </row>
    <row r="635">
      <c r="B635" s="148"/>
    </row>
    <row r="636">
      <c r="B636" s="148"/>
    </row>
    <row r="637">
      <c r="B637" s="148"/>
    </row>
    <row r="638">
      <c r="B638" s="148"/>
    </row>
    <row r="639">
      <c r="B639" s="148"/>
    </row>
    <row r="640">
      <c r="B640" s="148"/>
    </row>
    <row r="641">
      <c r="B641" s="148"/>
    </row>
    <row r="642">
      <c r="B642" s="148"/>
    </row>
    <row r="643">
      <c r="B643" s="148"/>
    </row>
    <row r="644">
      <c r="B644" s="148"/>
    </row>
    <row r="645">
      <c r="B645" s="148"/>
    </row>
    <row r="646">
      <c r="B646" s="148"/>
    </row>
    <row r="647">
      <c r="B647" s="148"/>
    </row>
    <row r="648">
      <c r="B648" s="148"/>
    </row>
    <row r="649">
      <c r="B649" s="148"/>
    </row>
    <row r="650">
      <c r="B650" s="148"/>
    </row>
    <row r="651">
      <c r="B651" s="148"/>
    </row>
    <row r="652">
      <c r="B652" s="148"/>
    </row>
    <row r="653">
      <c r="B653" s="148"/>
    </row>
    <row r="654">
      <c r="B654" s="148"/>
    </row>
    <row r="655">
      <c r="B655" s="148"/>
    </row>
    <row r="656">
      <c r="B656" s="148"/>
    </row>
    <row r="657">
      <c r="B657" s="148"/>
    </row>
    <row r="658">
      <c r="B658" s="148"/>
    </row>
    <row r="659">
      <c r="B659" s="148"/>
    </row>
    <row r="660">
      <c r="B660" s="148"/>
    </row>
    <row r="661">
      <c r="B661" s="148"/>
    </row>
    <row r="662">
      <c r="B662" s="148"/>
    </row>
    <row r="663">
      <c r="B663" s="148"/>
    </row>
    <row r="664">
      <c r="B664" s="148"/>
    </row>
    <row r="665">
      <c r="B665" s="148"/>
    </row>
    <row r="666">
      <c r="B666" s="148"/>
    </row>
    <row r="667">
      <c r="B667" s="148"/>
    </row>
    <row r="668">
      <c r="B668" s="148"/>
    </row>
    <row r="669">
      <c r="B669" s="148"/>
    </row>
    <row r="670">
      <c r="B670" s="148"/>
    </row>
    <row r="671">
      <c r="B671" s="148"/>
    </row>
    <row r="672">
      <c r="B672" s="148"/>
    </row>
    <row r="673">
      <c r="B673" s="148"/>
    </row>
    <row r="674">
      <c r="B674" s="148"/>
    </row>
    <row r="675">
      <c r="B675" s="148"/>
    </row>
    <row r="676">
      <c r="B676" s="148"/>
    </row>
    <row r="677">
      <c r="B677" s="148"/>
    </row>
    <row r="678">
      <c r="B678" s="148"/>
    </row>
    <row r="679">
      <c r="B679" s="148"/>
    </row>
    <row r="680">
      <c r="B680" s="148"/>
    </row>
    <row r="681">
      <c r="B681" s="148"/>
    </row>
    <row r="682">
      <c r="B682" s="148"/>
    </row>
    <row r="683">
      <c r="B683" s="148"/>
    </row>
    <row r="684">
      <c r="B684" s="148"/>
    </row>
    <row r="685">
      <c r="B685" s="148"/>
    </row>
    <row r="686">
      <c r="B686" s="148"/>
    </row>
    <row r="687">
      <c r="B687" s="148"/>
    </row>
    <row r="688">
      <c r="B688" s="148"/>
    </row>
    <row r="689">
      <c r="B689" s="148"/>
    </row>
    <row r="690">
      <c r="B690" s="148"/>
    </row>
    <row r="691">
      <c r="B691" s="148"/>
    </row>
    <row r="692">
      <c r="B692" s="148"/>
    </row>
    <row r="693">
      <c r="B693" s="148"/>
    </row>
    <row r="694">
      <c r="B694" s="148"/>
    </row>
    <row r="695">
      <c r="B695" s="148"/>
    </row>
    <row r="696">
      <c r="B696" s="148"/>
    </row>
    <row r="697">
      <c r="B697" s="148"/>
    </row>
    <row r="698">
      <c r="B698" s="148"/>
    </row>
    <row r="699">
      <c r="B699" s="148"/>
    </row>
    <row r="700">
      <c r="B700" s="148"/>
    </row>
    <row r="701">
      <c r="B701" s="148"/>
    </row>
    <row r="702">
      <c r="B702" s="148"/>
    </row>
    <row r="703">
      <c r="B703" s="148"/>
    </row>
    <row r="704">
      <c r="B704" s="148"/>
    </row>
    <row r="705">
      <c r="B705" s="148"/>
    </row>
    <row r="706">
      <c r="B706" s="148"/>
    </row>
    <row r="707">
      <c r="B707" s="148"/>
    </row>
    <row r="708">
      <c r="B708" s="148"/>
    </row>
    <row r="709">
      <c r="B709" s="148"/>
    </row>
    <row r="710">
      <c r="B710" s="148"/>
    </row>
    <row r="711">
      <c r="B711" s="148"/>
    </row>
    <row r="712">
      <c r="B712" s="148"/>
    </row>
    <row r="713">
      <c r="B713" s="148"/>
    </row>
    <row r="714">
      <c r="B714" s="148"/>
    </row>
    <row r="715">
      <c r="B715" s="148"/>
    </row>
    <row r="716">
      <c r="B716" s="148"/>
    </row>
    <row r="717">
      <c r="B717" s="148"/>
    </row>
    <row r="718">
      <c r="B718" s="148"/>
    </row>
    <row r="719">
      <c r="B719" s="148"/>
    </row>
    <row r="720">
      <c r="B720" s="148"/>
    </row>
    <row r="721">
      <c r="B721" s="148"/>
    </row>
    <row r="722">
      <c r="B722" s="148"/>
    </row>
    <row r="723">
      <c r="B723" s="148"/>
    </row>
    <row r="724">
      <c r="B724" s="148"/>
    </row>
    <row r="725">
      <c r="B725" s="148"/>
    </row>
    <row r="726">
      <c r="B726" s="148"/>
    </row>
    <row r="727">
      <c r="B727" s="148"/>
    </row>
    <row r="728">
      <c r="B728" s="148"/>
    </row>
    <row r="729">
      <c r="B729" s="148"/>
    </row>
    <row r="730">
      <c r="B730" s="148"/>
    </row>
    <row r="731">
      <c r="B731" s="148"/>
    </row>
    <row r="732">
      <c r="B732" s="148"/>
    </row>
    <row r="733">
      <c r="B733" s="148"/>
    </row>
    <row r="734">
      <c r="B734" s="148"/>
    </row>
    <row r="735">
      <c r="B735" s="148"/>
    </row>
    <row r="736">
      <c r="B736" s="148"/>
    </row>
    <row r="737">
      <c r="B737" s="148"/>
    </row>
    <row r="738">
      <c r="B738" s="148"/>
    </row>
    <row r="739">
      <c r="B739" s="148"/>
    </row>
    <row r="740">
      <c r="B740" s="148"/>
    </row>
    <row r="741">
      <c r="B741" s="148"/>
    </row>
    <row r="742">
      <c r="B742" s="148"/>
    </row>
    <row r="743">
      <c r="B743" s="148"/>
    </row>
    <row r="744">
      <c r="B744" s="148"/>
    </row>
    <row r="745">
      <c r="B745" s="148"/>
    </row>
    <row r="746">
      <c r="B746" s="148"/>
    </row>
    <row r="747">
      <c r="B747" s="148"/>
    </row>
    <row r="748">
      <c r="B748" s="148"/>
    </row>
    <row r="749">
      <c r="B749" s="148"/>
    </row>
    <row r="750">
      <c r="B750" s="148"/>
    </row>
    <row r="751">
      <c r="B751" s="148"/>
    </row>
    <row r="752">
      <c r="B752" s="148"/>
    </row>
    <row r="753">
      <c r="B753" s="148"/>
    </row>
    <row r="754">
      <c r="B754" s="148"/>
    </row>
    <row r="755">
      <c r="B755" s="148"/>
    </row>
    <row r="756">
      <c r="B756" s="148"/>
    </row>
    <row r="757">
      <c r="B757" s="148"/>
    </row>
    <row r="758">
      <c r="B758" s="148"/>
    </row>
    <row r="759">
      <c r="B759" s="148"/>
    </row>
    <row r="760">
      <c r="B760" s="148"/>
    </row>
    <row r="761">
      <c r="B761" s="148"/>
    </row>
    <row r="762">
      <c r="B762" s="148"/>
    </row>
    <row r="763">
      <c r="B763" s="148"/>
    </row>
    <row r="764">
      <c r="B764" s="148"/>
    </row>
    <row r="765">
      <c r="B765" s="148"/>
    </row>
    <row r="766">
      <c r="B766" s="148"/>
    </row>
    <row r="767">
      <c r="B767" s="148"/>
    </row>
    <row r="768">
      <c r="B768" s="148"/>
    </row>
    <row r="769">
      <c r="B769" s="148"/>
    </row>
    <row r="770">
      <c r="B770" s="148"/>
    </row>
    <row r="771">
      <c r="B771" s="148"/>
    </row>
    <row r="772">
      <c r="B772" s="148"/>
    </row>
    <row r="773">
      <c r="B773" s="148"/>
    </row>
    <row r="774">
      <c r="B774" s="148"/>
    </row>
    <row r="775">
      <c r="B775" s="148"/>
    </row>
    <row r="776">
      <c r="B776" s="148"/>
    </row>
    <row r="777">
      <c r="B777" s="148"/>
    </row>
    <row r="778">
      <c r="B778" s="148"/>
    </row>
    <row r="779">
      <c r="B779" s="148"/>
    </row>
    <row r="780">
      <c r="B780" s="148"/>
    </row>
    <row r="781">
      <c r="B781" s="148"/>
    </row>
    <row r="782">
      <c r="B782" s="148"/>
    </row>
    <row r="783">
      <c r="B783" s="148"/>
    </row>
    <row r="784">
      <c r="B784" s="148"/>
    </row>
    <row r="785">
      <c r="B785" s="148"/>
    </row>
    <row r="786">
      <c r="B786" s="148"/>
    </row>
    <row r="787">
      <c r="B787" s="148"/>
    </row>
    <row r="788">
      <c r="B788" s="148"/>
    </row>
    <row r="789">
      <c r="B789" s="148"/>
    </row>
    <row r="790">
      <c r="B790" s="148"/>
    </row>
    <row r="791">
      <c r="B791" s="148"/>
    </row>
    <row r="792">
      <c r="B792" s="148"/>
    </row>
    <row r="793">
      <c r="B793" s="148"/>
    </row>
    <row r="794">
      <c r="B794" s="148"/>
    </row>
    <row r="795">
      <c r="B795" s="148"/>
    </row>
    <row r="796">
      <c r="B796" s="148"/>
    </row>
    <row r="797">
      <c r="B797" s="148"/>
    </row>
    <row r="798">
      <c r="B798" s="148"/>
    </row>
    <row r="799">
      <c r="B799" s="148"/>
    </row>
    <row r="800">
      <c r="B800" s="148"/>
    </row>
    <row r="801">
      <c r="B801" s="148"/>
    </row>
    <row r="802">
      <c r="B802" s="148"/>
    </row>
    <row r="803">
      <c r="B803" s="148"/>
    </row>
    <row r="804">
      <c r="B804" s="148"/>
    </row>
    <row r="805">
      <c r="B805" s="148"/>
    </row>
    <row r="806">
      <c r="B806" s="148"/>
    </row>
    <row r="807">
      <c r="B807" s="148"/>
    </row>
    <row r="808">
      <c r="B808" s="148"/>
    </row>
    <row r="809">
      <c r="B809" s="148"/>
    </row>
    <row r="810">
      <c r="B810" s="148"/>
    </row>
    <row r="811">
      <c r="B811" s="148"/>
    </row>
    <row r="812">
      <c r="B812" s="148"/>
    </row>
    <row r="813">
      <c r="B813" s="148"/>
    </row>
    <row r="814">
      <c r="B814" s="148"/>
    </row>
    <row r="815">
      <c r="B815" s="148"/>
    </row>
    <row r="816">
      <c r="B816" s="148"/>
    </row>
    <row r="817">
      <c r="B817" s="148"/>
    </row>
    <row r="818">
      <c r="B818" s="148"/>
    </row>
    <row r="819">
      <c r="B819" s="148"/>
    </row>
    <row r="820">
      <c r="B820" s="148"/>
    </row>
    <row r="821">
      <c r="B821" s="148"/>
    </row>
    <row r="822">
      <c r="B822" s="148"/>
    </row>
    <row r="823">
      <c r="B823" s="148"/>
    </row>
    <row r="824">
      <c r="B824" s="148"/>
    </row>
    <row r="825">
      <c r="B825" s="148"/>
    </row>
    <row r="826">
      <c r="B826" s="148"/>
    </row>
    <row r="827">
      <c r="B827" s="148"/>
    </row>
    <row r="828">
      <c r="B828" s="148"/>
    </row>
    <row r="829">
      <c r="B829" s="148"/>
    </row>
    <row r="830">
      <c r="B830" s="148"/>
    </row>
    <row r="831">
      <c r="B831" s="148"/>
    </row>
    <row r="832">
      <c r="B832" s="148"/>
    </row>
    <row r="833">
      <c r="B833" s="148"/>
    </row>
    <row r="834">
      <c r="B834" s="148"/>
    </row>
    <row r="835">
      <c r="B835" s="148"/>
    </row>
    <row r="836">
      <c r="B836" s="148"/>
    </row>
    <row r="837">
      <c r="B837" s="148"/>
    </row>
    <row r="838">
      <c r="B838" s="148"/>
    </row>
    <row r="839">
      <c r="B839" s="148"/>
    </row>
    <row r="840">
      <c r="B840" s="148"/>
    </row>
    <row r="841">
      <c r="B841" s="148"/>
    </row>
    <row r="842">
      <c r="B842" s="148"/>
    </row>
    <row r="843">
      <c r="B843" s="148"/>
    </row>
    <row r="844">
      <c r="B844" s="148"/>
    </row>
    <row r="845">
      <c r="B845" s="148"/>
    </row>
    <row r="846">
      <c r="B846" s="148"/>
    </row>
    <row r="847">
      <c r="B847" s="148"/>
    </row>
    <row r="848">
      <c r="B848" s="148"/>
    </row>
    <row r="849">
      <c r="B849" s="148"/>
    </row>
    <row r="850">
      <c r="B850" s="148"/>
    </row>
    <row r="851">
      <c r="B851" s="148"/>
    </row>
    <row r="852">
      <c r="B852" s="148"/>
    </row>
    <row r="853">
      <c r="B853" s="148"/>
    </row>
    <row r="854">
      <c r="B854" s="148"/>
    </row>
    <row r="855">
      <c r="B855" s="148"/>
    </row>
    <row r="856">
      <c r="B856" s="148"/>
    </row>
    <row r="857">
      <c r="B857" s="148"/>
    </row>
    <row r="858">
      <c r="B858" s="148"/>
    </row>
    <row r="859">
      <c r="B859" s="148"/>
    </row>
    <row r="860">
      <c r="B860" s="148"/>
    </row>
    <row r="861">
      <c r="B861" s="148"/>
    </row>
    <row r="862">
      <c r="B862" s="148"/>
    </row>
    <row r="863">
      <c r="B863" s="148"/>
    </row>
    <row r="864">
      <c r="B864" s="148"/>
    </row>
    <row r="865">
      <c r="B865" s="148"/>
    </row>
    <row r="866">
      <c r="B866" s="148"/>
    </row>
    <row r="867">
      <c r="B867" s="148"/>
    </row>
    <row r="868">
      <c r="B868" s="148"/>
    </row>
    <row r="869">
      <c r="B869" s="148"/>
    </row>
    <row r="870">
      <c r="B870" s="148"/>
    </row>
    <row r="871">
      <c r="B871" s="148"/>
    </row>
    <row r="872">
      <c r="B872" s="148"/>
    </row>
    <row r="873">
      <c r="B873" s="148"/>
    </row>
    <row r="874">
      <c r="B874" s="148"/>
    </row>
    <row r="875">
      <c r="B875" s="148"/>
    </row>
    <row r="876">
      <c r="B876" s="148"/>
    </row>
    <row r="877">
      <c r="B877" s="148"/>
    </row>
    <row r="878">
      <c r="B878" s="148"/>
    </row>
    <row r="879">
      <c r="B879" s="148"/>
    </row>
    <row r="880">
      <c r="B880" s="148"/>
    </row>
    <row r="881">
      <c r="B881" s="148"/>
    </row>
    <row r="882">
      <c r="B882" s="148"/>
    </row>
    <row r="883">
      <c r="B883" s="148"/>
    </row>
    <row r="884">
      <c r="B884" s="148"/>
    </row>
    <row r="885">
      <c r="B885" s="148"/>
    </row>
    <row r="886">
      <c r="B886" s="148"/>
    </row>
    <row r="887">
      <c r="B887" s="148"/>
    </row>
    <row r="888">
      <c r="B888" s="148"/>
    </row>
    <row r="889">
      <c r="B889" s="148"/>
    </row>
    <row r="890">
      <c r="B890" s="148"/>
    </row>
    <row r="891">
      <c r="B891" s="148"/>
    </row>
    <row r="892">
      <c r="B892" s="148"/>
    </row>
    <row r="893">
      <c r="B893" s="148"/>
    </row>
    <row r="894">
      <c r="B894" s="148"/>
    </row>
    <row r="895">
      <c r="B895" s="148"/>
    </row>
    <row r="896">
      <c r="B896" s="148"/>
    </row>
    <row r="897">
      <c r="B897" s="148"/>
    </row>
    <row r="898">
      <c r="B898" s="148"/>
    </row>
    <row r="899">
      <c r="B899" s="148"/>
    </row>
    <row r="900">
      <c r="B900" s="148"/>
    </row>
    <row r="901">
      <c r="B901" s="148"/>
    </row>
    <row r="902">
      <c r="B902" s="148"/>
    </row>
    <row r="903">
      <c r="B903" s="148"/>
    </row>
    <row r="904">
      <c r="B904" s="148"/>
    </row>
    <row r="905">
      <c r="B905" s="148"/>
    </row>
    <row r="906">
      <c r="B906" s="148"/>
    </row>
    <row r="907">
      <c r="B907" s="148"/>
    </row>
    <row r="908">
      <c r="B908" s="148"/>
    </row>
    <row r="909">
      <c r="B909" s="148"/>
    </row>
    <row r="910">
      <c r="B910" s="148"/>
    </row>
    <row r="911">
      <c r="B911" s="148"/>
    </row>
    <row r="912">
      <c r="B912" s="148"/>
    </row>
    <row r="913">
      <c r="B913" s="148"/>
    </row>
    <row r="914">
      <c r="B914" s="148"/>
    </row>
    <row r="915">
      <c r="B915" s="148"/>
    </row>
    <row r="916">
      <c r="B916" s="148"/>
    </row>
    <row r="917">
      <c r="B917" s="148"/>
    </row>
    <row r="918">
      <c r="B918" s="148"/>
    </row>
    <row r="919">
      <c r="B919" s="148"/>
    </row>
    <row r="920">
      <c r="B920" s="148"/>
    </row>
    <row r="921">
      <c r="B921" s="148"/>
    </row>
    <row r="922">
      <c r="B922" s="148"/>
    </row>
    <row r="923">
      <c r="B923" s="148"/>
    </row>
    <row r="924">
      <c r="B924" s="148"/>
    </row>
    <row r="925">
      <c r="B925" s="148"/>
    </row>
    <row r="926">
      <c r="B926" s="148"/>
    </row>
    <row r="927">
      <c r="B927" s="148"/>
    </row>
    <row r="928">
      <c r="B928" s="148"/>
    </row>
    <row r="929">
      <c r="B929" s="148"/>
    </row>
    <row r="930">
      <c r="B930" s="148"/>
    </row>
    <row r="931">
      <c r="B931" s="148"/>
    </row>
    <row r="932">
      <c r="B932" s="148"/>
    </row>
    <row r="933">
      <c r="B933" s="148"/>
    </row>
    <row r="934">
      <c r="B934" s="148"/>
    </row>
    <row r="935">
      <c r="B935" s="148"/>
    </row>
    <row r="936">
      <c r="B936" s="148"/>
    </row>
    <row r="937">
      <c r="B937" s="148"/>
    </row>
    <row r="938">
      <c r="B938" s="148"/>
    </row>
    <row r="939">
      <c r="B939" s="148"/>
    </row>
    <row r="940">
      <c r="B940" s="148"/>
    </row>
    <row r="941">
      <c r="B941" s="148"/>
    </row>
    <row r="942">
      <c r="B942" s="148"/>
    </row>
    <row r="943">
      <c r="B943" s="148"/>
    </row>
    <row r="944">
      <c r="B944" s="148"/>
    </row>
    <row r="945">
      <c r="B945" s="148"/>
    </row>
    <row r="946">
      <c r="B946" s="148"/>
    </row>
    <row r="947">
      <c r="B947" s="148"/>
    </row>
    <row r="948">
      <c r="B948" s="148"/>
    </row>
    <row r="949">
      <c r="B949" s="148"/>
    </row>
    <row r="950">
      <c r="B950" s="148"/>
    </row>
    <row r="951">
      <c r="B951" s="148"/>
    </row>
    <row r="952">
      <c r="B952" s="148"/>
    </row>
    <row r="953">
      <c r="B953" s="148"/>
    </row>
    <row r="954">
      <c r="B954" s="148"/>
    </row>
    <row r="955">
      <c r="B955" s="148"/>
    </row>
    <row r="956">
      <c r="B956" s="148"/>
    </row>
    <row r="957">
      <c r="B957" s="148"/>
    </row>
    <row r="958">
      <c r="B958" s="148"/>
    </row>
    <row r="959">
      <c r="B959" s="148"/>
    </row>
    <row r="960">
      <c r="B960" s="148"/>
    </row>
    <row r="961">
      <c r="B961" s="148"/>
    </row>
    <row r="962">
      <c r="B962" s="148"/>
    </row>
    <row r="963">
      <c r="B963" s="148"/>
    </row>
    <row r="964">
      <c r="B964" s="148"/>
    </row>
    <row r="965">
      <c r="B965" s="148"/>
    </row>
    <row r="966">
      <c r="B966" s="148"/>
    </row>
    <row r="967">
      <c r="B967" s="148"/>
    </row>
    <row r="968">
      <c r="B968" s="148"/>
    </row>
    <row r="969">
      <c r="B969" s="148"/>
    </row>
    <row r="970">
      <c r="B970" s="148"/>
    </row>
    <row r="971">
      <c r="B971" s="148"/>
    </row>
    <row r="972">
      <c r="B972" s="148"/>
    </row>
    <row r="973">
      <c r="B973" s="148"/>
    </row>
    <row r="974">
      <c r="B974" s="148"/>
    </row>
    <row r="975">
      <c r="B975" s="148"/>
    </row>
    <row r="976">
      <c r="B976" s="148"/>
    </row>
    <row r="977">
      <c r="B977" s="148"/>
    </row>
    <row r="978">
      <c r="B978" s="148"/>
    </row>
    <row r="979">
      <c r="B979" s="148"/>
    </row>
    <row r="980">
      <c r="B980" s="148"/>
    </row>
    <row r="981">
      <c r="B981" s="148"/>
    </row>
    <row r="982">
      <c r="B982" s="148"/>
    </row>
    <row r="983">
      <c r="B983" s="148"/>
    </row>
    <row r="984">
      <c r="B984" s="148"/>
    </row>
    <row r="985">
      <c r="B985" s="148"/>
    </row>
    <row r="986">
      <c r="B986" s="148"/>
    </row>
    <row r="987">
      <c r="B987" s="148"/>
    </row>
    <row r="988">
      <c r="B988" s="148"/>
    </row>
    <row r="989">
      <c r="B989" s="148"/>
    </row>
    <row r="990">
      <c r="B990" s="148"/>
    </row>
    <row r="991">
      <c r="B991" s="148"/>
    </row>
    <row r="992">
      <c r="B992" s="148"/>
    </row>
    <row r="993">
      <c r="B993" s="148"/>
    </row>
    <row r="994">
      <c r="B994" s="148"/>
    </row>
    <row r="995">
      <c r="B995" s="148"/>
    </row>
    <row r="996">
      <c r="B996" s="148"/>
    </row>
    <row r="997">
      <c r="B997" s="148"/>
    </row>
    <row r="998">
      <c r="B998" s="148"/>
    </row>
    <row r="999">
      <c r="B999" s="148"/>
    </row>
    <row r="1000">
      <c r="B1000" s="14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43"/>
  </cols>
  <sheetData>
    <row r="1">
      <c r="A1" s="121" t="s">
        <v>7</v>
      </c>
      <c r="B1" s="122" t="s">
        <v>8</v>
      </c>
      <c r="C1" s="123" t="s">
        <v>9</v>
      </c>
      <c r="D1" s="123" t="s">
        <v>10</v>
      </c>
      <c r="E1" s="123" t="s">
        <v>11</v>
      </c>
      <c r="F1" s="123" t="s">
        <v>12</v>
      </c>
      <c r="G1" s="123" t="s">
        <v>13</v>
      </c>
    </row>
    <row r="2">
      <c r="A2" s="124" t="s">
        <v>14</v>
      </c>
      <c r="B2" s="125" t="s">
        <v>15</v>
      </c>
      <c r="C2" s="126" t="s">
        <v>16</v>
      </c>
      <c r="D2" s="126" t="s">
        <v>17</v>
      </c>
      <c r="E2" s="126" t="s">
        <v>18</v>
      </c>
      <c r="F2" s="126" t="s">
        <v>19</v>
      </c>
      <c r="G2" s="126" t="s">
        <v>20</v>
      </c>
    </row>
    <row r="3">
      <c r="A3" s="127" t="s">
        <v>78</v>
      </c>
      <c r="B3" s="137"/>
      <c r="C3" s="138"/>
      <c r="D3" s="138"/>
      <c r="E3" s="138"/>
      <c r="F3" s="138"/>
      <c r="G3" s="138"/>
    </row>
    <row r="4">
      <c r="A4" s="130" t="s">
        <v>79</v>
      </c>
      <c r="B4" s="131">
        <v>2278.7</v>
      </c>
      <c r="C4" s="132">
        <v>2687.1</v>
      </c>
      <c r="D4" s="132">
        <v>1000.0</v>
      </c>
      <c r="E4" s="132">
        <v>4605.9</v>
      </c>
      <c r="F4" s="132">
        <v>3917.2</v>
      </c>
      <c r="G4" s="132">
        <v>2664.1</v>
      </c>
    </row>
    <row r="5">
      <c r="A5" s="130" t="s">
        <v>80</v>
      </c>
      <c r="B5" s="131">
        <v>2278.7</v>
      </c>
      <c r="C5" s="132">
        <v>2687.1</v>
      </c>
      <c r="D5" s="132">
        <v>1000.0</v>
      </c>
      <c r="E5" s="132">
        <v>3105.2</v>
      </c>
      <c r="F5" s="132">
        <v>1843.3</v>
      </c>
      <c r="G5" s="132">
        <v>955.2</v>
      </c>
    </row>
    <row r="6">
      <c r="A6" s="130" t="s">
        <v>81</v>
      </c>
      <c r="B6" s="131">
        <v>0.0</v>
      </c>
      <c r="C6" s="132">
        <v>0.0</v>
      </c>
      <c r="D6" s="132">
        <v>0.0</v>
      </c>
      <c r="E6" s="132">
        <v>1500.7</v>
      </c>
      <c r="F6" s="132">
        <v>2073.9</v>
      </c>
      <c r="G6" s="132">
        <v>1708.9</v>
      </c>
    </row>
    <row r="7">
      <c r="A7" s="130" t="s">
        <v>82</v>
      </c>
      <c r="B7" s="131">
        <v>4222.5</v>
      </c>
      <c r="C7" s="132">
        <v>4910.2</v>
      </c>
      <c r="D7" s="132">
        <v>5282.3</v>
      </c>
      <c r="E7" s="132">
        <v>5179.2</v>
      </c>
      <c r="F7" s="132">
        <v>5800.1</v>
      </c>
      <c r="G7" s="132">
        <v>6366.6</v>
      </c>
    </row>
    <row r="8">
      <c r="A8" s="130" t="s">
        <v>83</v>
      </c>
      <c r="B8" s="131">
        <v>4222.5</v>
      </c>
      <c r="C8" s="132">
        <v>4910.2</v>
      </c>
      <c r="D8" s="132">
        <v>5282.3</v>
      </c>
      <c r="E8" s="132">
        <v>5179.2</v>
      </c>
      <c r="F8" s="132">
        <v>5800.1</v>
      </c>
      <c r="G8" s="132">
        <v>6366.6</v>
      </c>
    </row>
    <row r="9">
      <c r="A9" s="130" t="s">
        <v>84</v>
      </c>
      <c r="B9" s="131">
        <v>0.0</v>
      </c>
      <c r="C9" s="132">
        <v>0.0</v>
      </c>
      <c r="D9" s="132">
        <v>0.0</v>
      </c>
      <c r="E9" s="132">
        <v>0.0</v>
      </c>
      <c r="F9" s="132">
        <v>0.0</v>
      </c>
      <c r="G9" s="132">
        <v>0.0</v>
      </c>
    </row>
    <row r="10">
      <c r="A10" s="130" t="s">
        <v>86</v>
      </c>
      <c r="B10" s="131">
        <v>213.3</v>
      </c>
      <c r="C10" s="132">
        <v>260.1</v>
      </c>
      <c r="D10" s="132">
        <v>269.9</v>
      </c>
      <c r="E10" s="132">
        <v>317.8</v>
      </c>
      <c r="F10" s="132">
        <v>349.9</v>
      </c>
      <c r="G10" s="132">
        <v>393.5</v>
      </c>
    </row>
    <row r="11">
      <c r="A11" s="130" t="s">
        <v>87</v>
      </c>
      <c r="B11" s="131">
        <v>44.8</v>
      </c>
      <c r="C11" s="132">
        <v>58.9</v>
      </c>
      <c r="D11" s="132">
        <v>37.3</v>
      </c>
      <c r="E11" s="132">
        <v>58.2</v>
      </c>
      <c r="F11" s="132">
        <v>70.1</v>
      </c>
      <c r="G11" s="132">
        <v>78.4</v>
      </c>
    </row>
    <row r="12">
      <c r="A12" s="130" t="s">
        <v>88</v>
      </c>
      <c r="B12" s="131">
        <v>0.0</v>
      </c>
      <c r="C12" s="132">
        <v>0.0</v>
      </c>
      <c r="D12" s="132">
        <v>0.0</v>
      </c>
      <c r="E12" s="132">
        <v>0.0</v>
      </c>
      <c r="F12" s="132">
        <v>0.0</v>
      </c>
      <c r="G12" s="132">
        <v>0.0</v>
      </c>
    </row>
    <row r="13">
      <c r="A13" s="130" t="s">
        <v>89</v>
      </c>
      <c r="B13" s="131">
        <v>0.0</v>
      </c>
      <c r="C13" s="132">
        <v>0.0</v>
      </c>
      <c r="D13" s="132">
        <v>0.0</v>
      </c>
      <c r="E13" s="132">
        <v>0.0</v>
      </c>
      <c r="F13" s="132">
        <v>0.0</v>
      </c>
      <c r="G13" s="132">
        <v>0.0</v>
      </c>
    </row>
    <row r="14">
      <c r="A14" s="130" t="s">
        <v>90</v>
      </c>
      <c r="B14" s="131">
        <v>168.5</v>
      </c>
      <c r="C14" s="132">
        <v>201.2</v>
      </c>
      <c r="D14" s="132">
        <v>232.6</v>
      </c>
      <c r="E14" s="132">
        <v>259.6</v>
      </c>
      <c r="F14" s="132">
        <v>279.8</v>
      </c>
      <c r="G14" s="132">
        <v>315.1</v>
      </c>
    </row>
    <row r="15">
      <c r="A15" s="130" t="s">
        <v>91</v>
      </c>
      <c r="B15" s="131">
        <v>683.6</v>
      </c>
      <c r="C15" s="132">
        <v>774.2</v>
      </c>
      <c r="D15" s="132">
        <v>660.9</v>
      </c>
      <c r="E15" s="132">
        <v>700.9</v>
      </c>
      <c r="F15" s="132">
        <v>696.0</v>
      </c>
      <c r="G15" s="132">
        <v>1179.3</v>
      </c>
    </row>
    <row r="16">
      <c r="A16" s="130" t="s">
        <v>92</v>
      </c>
      <c r="B16" s="131">
        <v>210.6</v>
      </c>
      <c r="C16" s="132">
        <v>303.8</v>
      </c>
      <c r="D16" s="132">
        <v>167.4</v>
      </c>
      <c r="E16" s="132">
        <v>196.4</v>
      </c>
      <c r="F16" s="132">
        <v>183.3</v>
      </c>
      <c r="G16" s="132">
        <v>423.2</v>
      </c>
    </row>
    <row r="17">
      <c r="A17" s="130" t="s">
        <v>93</v>
      </c>
      <c r="B17" s="131">
        <v>0.0</v>
      </c>
      <c r="C17" s="132">
        <v>0.0</v>
      </c>
      <c r="D17" s="132">
        <v>0.0</v>
      </c>
      <c r="E17" s="132">
        <v>0.0</v>
      </c>
      <c r="F17" s="132">
        <v>0.0</v>
      </c>
      <c r="G17" s="132">
        <v>0.0</v>
      </c>
    </row>
    <row r="18">
      <c r="A18" s="130" t="s">
        <v>94</v>
      </c>
      <c r="B18" s="131" t="s">
        <v>26</v>
      </c>
      <c r="C18" s="132" t="s">
        <v>26</v>
      </c>
      <c r="D18" s="132" t="s">
        <v>26</v>
      </c>
      <c r="E18" s="132" t="s">
        <v>26</v>
      </c>
      <c r="F18" s="132" t="s">
        <v>26</v>
      </c>
      <c r="G18" s="132" t="s">
        <v>26</v>
      </c>
    </row>
    <row r="19">
      <c r="A19" s="130" t="s">
        <v>97</v>
      </c>
      <c r="B19" s="131">
        <v>473.0</v>
      </c>
      <c r="C19" s="132">
        <v>470.4</v>
      </c>
      <c r="D19" s="132">
        <v>493.5</v>
      </c>
      <c r="E19" s="132">
        <v>504.5</v>
      </c>
      <c r="F19" s="132">
        <v>512.7</v>
      </c>
      <c r="G19" s="132">
        <v>756.1</v>
      </c>
    </row>
    <row r="20">
      <c r="A20" s="127" t="s">
        <v>98</v>
      </c>
      <c r="B20" s="128">
        <v>7398.1</v>
      </c>
      <c r="C20" s="129">
        <v>8631.6</v>
      </c>
      <c r="D20" s="129">
        <v>7213.1</v>
      </c>
      <c r="E20" s="129">
        <v>10803.8</v>
      </c>
      <c r="F20" s="129">
        <v>10763.2</v>
      </c>
      <c r="G20" s="129">
        <v>10603.5</v>
      </c>
    </row>
    <row r="21">
      <c r="A21" s="130" t="s">
        <v>99</v>
      </c>
      <c r="B21" s="131">
        <v>5241.6</v>
      </c>
      <c r="C21" s="132">
        <v>6411.6</v>
      </c>
      <c r="D21" s="132">
        <v>15840.5</v>
      </c>
      <c r="E21" s="132">
        <v>15111.6</v>
      </c>
      <c r="F21" s="132">
        <v>14247.0</v>
      </c>
      <c r="G21" s="132">
        <v>18029.7</v>
      </c>
    </row>
    <row r="22">
      <c r="A22" s="130" t="s">
        <v>100</v>
      </c>
      <c r="B22" s="131">
        <v>7549.3</v>
      </c>
      <c r="C22" s="132">
        <v>9457.2</v>
      </c>
      <c r="D22" s="132">
        <v>20091.1</v>
      </c>
      <c r="E22" s="132">
        <v>20661.9</v>
      </c>
      <c r="F22" s="132">
        <v>25656.3</v>
      </c>
      <c r="G22" s="132">
        <v>32033.6</v>
      </c>
    </row>
    <row r="23">
      <c r="A23" s="130" t="s">
        <v>101</v>
      </c>
      <c r="B23" s="131">
        <v>2307.7</v>
      </c>
      <c r="C23" s="132">
        <v>3045.6</v>
      </c>
      <c r="D23" s="132">
        <v>4250.6</v>
      </c>
      <c r="E23" s="132">
        <v>5550.3</v>
      </c>
      <c r="F23" s="132">
        <v>11409.3</v>
      </c>
      <c r="G23" s="132">
        <v>14003.9</v>
      </c>
    </row>
    <row r="24">
      <c r="A24" s="130" t="s">
        <v>102</v>
      </c>
      <c r="B24" s="131">
        <v>0.0</v>
      </c>
      <c r="C24" s="132">
        <v>0.0</v>
      </c>
      <c r="D24" s="132">
        <v>0.0</v>
      </c>
      <c r="E24" s="132">
        <v>0.0</v>
      </c>
      <c r="F24" s="132">
        <v>0.0</v>
      </c>
      <c r="G24" s="132">
        <v>0.0</v>
      </c>
    </row>
    <row r="25">
      <c r="A25" s="130" t="s">
        <v>103</v>
      </c>
      <c r="B25" s="131">
        <v>0.0</v>
      </c>
      <c r="C25" s="132">
        <v>0.0</v>
      </c>
      <c r="D25" s="132">
        <v>0.0</v>
      </c>
      <c r="E25" s="132" t="s">
        <v>26</v>
      </c>
      <c r="F25" s="132">
        <v>0.0</v>
      </c>
      <c r="G25" s="132">
        <v>0.0</v>
      </c>
    </row>
    <row r="26">
      <c r="A26" s="130" t="s">
        <v>221</v>
      </c>
      <c r="B26" s="131" t="s">
        <v>26</v>
      </c>
      <c r="C26" s="132" t="s">
        <v>26</v>
      </c>
      <c r="D26" s="132" t="s">
        <v>26</v>
      </c>
      <c r="E26" s="132" t="s">
        <v>26</v>
      </c>
      <c r="F26" s="132" t="s">
        <v>26</v>
      </c>
      <c r="G26" s="132">
        <v>0.0</v>
      </c>
    </row>
    <row r="27">
      <c r="A27" s="130" t="s">
        <v>104</v>
      </c>
      <c r="B27" s="131" t="s">
        <v>26</v>
      </c>
      <c r="C27" s="132" t="s">
        <v>26</v>
      </c>
      <c r="D27" s="132" t="s">
        <v>26</v>
      </c>
      <c r="E27" s="132">
        <v>0.0</v>
      </c>
      <c r="F27" s="132" t="s">
        <v>26</v>
      </c>
      <c r="G27" s="132" t="s">
        <v>26</v>
      </c>
    </row>
    <row r="28">
      <c r="A28" s="130" t="s">
        <v>105</v>
      </c>
      <c r="B28" s="131">
        <v>2385.8</v>
      </c>
      <c r="C28" s="132">
        <v>3069.4</v>
      </c>
      <c r="D28" s="132">
        <v>3354.3</v>
      </c>
      <c r="E28" s="132">
        <v>3058.9</v>
      </c>
      <c r="F28" s="132">
        <v>3277.4</v>
      </c>
      <c r="G28" s="132">
        <v>3597.2</v>
      </c>
    </row>
    <row r="29">
      <c r="A29" s="130" t="s">
        <v>106</v>
      </c>
      <c r="B29" s="131">
        <v>933.6</v>
      </c>
      <c r="C29" s="132">
        <v>1038.6</v>
      </c>
      <c r="D29" s="132">
        <v>989.6</v>
      </c>
      <c r="E29" s="132">
        <v>787.0</v>
      </c>
      <c r="F29" s="132">
        <v>813.0</v>
      </c>
      <c r="G29" s="132">
        <v>729.7</v>
      </c>
    </row>
    <row r="30">
      <c r="A30" s="133" t="s">
        <v>107</v>
      </c>
      <c r="B30" s="134">
        <v>0.0</v>
      </c>
      <c r="C30" s="135">
        <v>0.0</v>
      </c>
      <c r="D30" s="135">
        <v>0.0</v>
      </c>
      <c r="E30" s="135">
        <v>0.0</v>
      </c>
      <c r="F30" s="135">
        <v>0.0</v>
      </c>
      <c r="G30" s="135">
        <v>0.0</v>
      </c>
    </row>
    <row r="31">
      <c r="A31" s="133" t="s">
        <v>108</v>
      </c>
      <c r="B31" s="134">
        <v>933.6</v>
      </c>
      <c r="C31" s="135">
        <v>1038.6</v>
      </c>
      <c r="D31" s="135">
        <v>989.6</v>
      </c>
      <c r="E31" s="135">
        <v>787.0</v>
      </c>
      <c r="F31" s="135">
        <v>813.0</v>
      </c>
      <c r="G31" s="135">
        <v>729.7</v>
      </c>
    </row>
    <row r="32">
      <c r="A32" s="130" t="s">
        <v>109</v>
      </c>
      <c r="B32" s="131">
        <v>179.1</v>
      </c>
      <c r="C32" s="132">
        <v>122.3</v>
      </c>
      <c r="D32" s="132">
        <v>30.2</v>
      </c>
      <c r="E32" s="132">
        <v>60.3</v>
      </c>
      <c r="F32" s="132">
        <v>51.2</v>
      </c>
      <c r="G32" s="132">
        <v>114.1</v>
      </c>
    </row>
    <row r="33">
      <c r="A33" s="130" t="s">
        <v>95</v>
      </c>
      <c r="B33" s="131">
        <v>386.5</v>
      </c>
      <c r="C33" s="132">
        <v>513.2</v>
      </c>
      <c r="D33" s="132">
        <v>645.1</v>
      </c>
      <c r="E33" s="132">
        <v>807.8</v>
      </c>
      <c r="F33" s="132">
        <v>905.6</v>
      </c>
      <c r="G33" s="132">
        <v>1023.8</v>
      </c>
    </row>
    <row r="34">
      <c r="A34" s="130" t="s">
        <v>93</v>
      </c>
      <c r="B34" s="131">
        <v>0.0</v>
      </c>
      <c r="C34" s="132">
        <v>0.0</v>
      </c>
      <c r="D34" s="132">
        <v>0.0</v>
      </c>
      <c r="E34" s="132">
        <v>0.0</v>
      </c>
      <c r="F34" s="132">
        <v>0.0</v>
      </c>
      <c r="G34" s="132">
        <v>0.0</v>
      </c>
    </row>
    <row r="35">
      <c r="A35" s="130" t="s">
        <v>110</v>
      </c>
      <c r="B35" s="131" t="s">
        <v>26</v>
      </c>
      <c r="C35" s="132" t="s">
        <v>26</v>
      </c>
      <c r="D35" s="132" t="s">
        <v>26</v>
      </c>
      <c r="E35" s="132">
        <v>0.0</v>
      </c>
      <c r="F35" s="132">
        <v>0.0</v>
      </c>
      <c r="G35" s="132" t="s">
        <v>26</v>
      </c>
    </row>
    <row r="36">
      <c r="A36" s="130" t="s">
        <v>111</v>
      </c>
      <c r="B36" s="131">
        <v>886.6</v>
      </c>
      <c r="C36" s="132">
        <v>1395.3</v>
      </c>
      <c r="D36" s="132">
        <v>1689.4</v>
      </c>
      <c r="E36" s="132">
        <v>1403.8</v>
      </c>
      <c r="F36" s="132">
        <v>1507.6</v>
      </c>
      <c r="G36" s="132">
        <v>1729.6</v>
      </c>
    </row>
    <row r="37">
      <c r="A37" s="127" t="s">
        <v>112</v>
      </c>
      <c r="B37" s="128">
        <v>7627.4</v>
      </c>
      <c r="C37" s="129">
        <v>9481.0</v>
      </c>
      <c r="D37" s="129">
        <v>19194.8</v>
      </c>
      <c r="E37" s="129">
        <v>18170.5</v>
      </c>
      <c r="F37" s="129">
        <v>17524.4</v>
      </c>
      <c r="G37" s="129">
        <v>21626.9</v>
      </c>
    </row>
    <row r="38">
      <c r="A38" s="127" t="s">
        <v>78</v>
      </c>
      <c r="B38" s="128">
        <v>15025.5</v>
      </c>
      <c r="C38" s="129">
        <v>18112.6</v>
      </c>
      <c r="D38" s="129">
        <v>26407.9</v>
      </c>
      <c r="E38" s="129">
        <v>28974.3</v>
      </c>
      <c r="F38" s="129">
        <v>28287.6</v>
      </c>
      <c r="G38" s="129">
        <v>32230.4</v>
      </c>
    </row>
    <row r="39">
      <c r="A39" s="136"/>
      <c r="B39" s="137"/>
      <c r="C39" s="138"/>
      <c r="D39" s="138"/>
      <c r="E39" s="138"/>
      <c r="F39" s="138"/>
      <c r="G39" s="138"/>
    </row>
    <row r="40">
      <c r="A40" s="127" t="s">
        <v>113</v>
      </c>
      <c r="B40" s="137"/>
      <c r="C40" s="138"/>
      <c r="D40" s="138"/>
      <c r="E40" s="138"/>
      <c r="F40" s="138"/>
      <c r="G40" s="138"/>
    </row>
    <row r="41">
      <c r="A41" s="130" t="s">
        <v>114</v>
      </c>
      <c r="B41" s="131">
        <v>5028.1</v>
      </c>
      <c r="C41" s="132">
        <v>6038.5</v>
      </c>
      <c r="D41" s="132">
        <v>6179.9</v>
      </c>
      <c r="E41" s="132">
        <v>7159.5</v>
      </c>
      <c r="F41" s="132">
        <v>8158.4</v>
      </c>
      <c r="G41" s="132">
        <v>7180.6</v>
      </c>
    </row>
    <row r="42">
      <c r="A42" s="130" t="s">
        <v>115</v>
      </c>
      <c r="B42" s="131">
        <v>2759.0</v>
      </c>
      <c r="C42" s="132">
        <v>4342.5</v>
      </c>
      <c r="D42" s="132">
        <v>4010.3</v>
      </c>
      <c r="E42" s="132">
        <v>5094.1</v>
      </c>
      <c r="F42" s="132">
        <v>5798.7</v>
      </c>
      <c r="G42" s="132">
        <v>5851.0</v>
      </c>
    </row>
    <row r="43">
      <c r="A43" s="130" t="s">
        <v>116</v>
      </c>
      <c r="B43" s="131" t="s">
        <v>26</v>
      </c>
      <c r="C43" s="132" t="s">
        <v>26</v>
      </c>
      <c r="D43" s="132" t="s">
        <v>26</v>
      </c>
      <c r="E43" s="132" t="s">
        <v>26</v>
      </c>
      <c r="F43" s="132" t="s">
        <v>26</v>
      </c>
      <c r="G43" s="132" t="s">
        <v>26</v>
      </c>
    </row>
    <row r="44">
      <c r="A44" s="130" t="s">
        <v>117</v>
      </c>
      <c r="B44" s="131">
        <v>12.7</v>
      </c>
      <c r="C44" s="132">
        <v>11.0</v>
      </c>
      <c r="D44" s="132">
        <v>15.6</v>
      </c>
      <c r="E44" s="132">
        <v>5.9</v>
      </c>
      <c r="F44" s="132">
        <v>33.4</v>
      </c>
      <c r="G44" s="132">
        <v>5.4</v>
      </c>
    </row>
    <row r="45">
      <c r="A45" s="130" t="s">
        <v>118</v>
      </c>
      <c r="B45" s="131">
        <v>2256.4</v>
      </c>
      <c r="C45" s="132">
        <v>1685.0</v>
      </c>
      <c r="D45" s="132">
        <v>2154.0</v>
      </c>
      <c r="E45" s="132">
        <v>2059.5</v>
      </c>
      <c r="F45" s="132">
        <v>2326.3</v>
      </c>
      <c r="G45" s="132">
        <v>1324.2</v>
      </c>
    </row>
    <row r="46">
      <c r="A46" s="130" t="s">
        <v>119</v>
      </c>
      <c r="B46" s="131">
        <v>974.3</v>
      </c>
      <c r="C46" s="132">
        <v>711.8</v>
      </c>
      <c r="D46" s="132">
        <v>1623.6</v>
      </c>
      <c r="E46" s="132">
        <v>1786.7</v>
      </c>
      <c r="F46" s="132">
        <v>4009.8</v>
      </c>
      <c r="G46" s="132">
        <v>2105.1</v>
      </c>
    </row>
    <row r="47">
      <c r="A47" s="130" t="s">
        <v>120</v>
      </c>
      <c r="B47" s="131">
        <v>974.3</v>
      </c>
      <c r="C47" s="132">
        <v>711.8</v>
      </c>
      <c r="D47" s="132">
        <v>0.0</v>
      </c>
      <c r="E47" s="132">
        <v>0.0</v>
      </c>
      <c r="F47" s="132">
        <v>2000.0</v>
      </c>
      <c r="G47" s="132">
        <v>0.0</v>
      </c>
    </row>
    <row r="48">
      <c r="A48" s="130" t="s">
        <v>121</v>
      </c>
      <c r="B48" s="131">
        <v>0.0</v>
      </c>
      <c r="C48" s="132">
        <v>0.0</v>
      </c>
      <c r="D48" s="132">
        <v>1623.6</v>
      </c>
      <c r="E48" s="132">
        <v>1786.7</v>
      </c>
      <c r="F48" s="132">
        <v>2009.8</v>
      </c>
      <c r="G48" s="132">
        <v>2105.1</v>
      </c>
    </row>
    <row r="49">
      <c r="A49" s="133" t="s">
        <v>122</v>
      </c>
      <c r="B49" s="134">
        <v>0.0</v>
      </c>
      <c r="C49" s="135">
        <v>0.0</v>
      </c>
      <c r="D49" s="135" t="s">
        <v>26</v>
      </c>
      <c r="E49" s="135" t="s">
        <v>26</v>
      </c>
      <c r="F49" s="135" t="s">
        <v>26</v>
      </c>
      <c r="G49" s="135" t="s">
        <v>26</v>
      </c>
    </row>
    <row r="50">
      <c r="A50" s="130" t="s">
        <v>124</v>
      </c>
      <c r="B50" s="131">
        <v>411.6</v>
      </c>
      <c r="C50" s="132">
        <v>1116.2</v>
      </c>
      <c r="D50" s="132">
        <v>1631.6</v>
      </c>
      <c r="E50" s="132">
        <v>3959.5</v>
      </c>
      <c r="F50" s="132">
        <v>559.6</v>
      </c>
      <c r="G50" s="132">
        <v>1872.9</v>
      </c>
    </row>
    <row r="51">
      <c r="A51" s="130" t="s">
        <v>125</v>
      </c>
      <c r="B51" s="131">
        <v>0.0</v>
      </c>
      <c r="C51" s="132">
        <v>0.0</v>
      </c>
      <c r="D51" s="132">
        <v>0.0</v>
      </c>
      <c r="E51" s="132">
        <v>0.0</v>
      </c>
      <c r="F51" s="132">
        <v>0.0</v>
      </c>
      <c r="G51" s="132">
        <v>0.0</v>
      </c>
    </row>
    <row r="52">
      <c r="A52" s="130" t="s">
        <v>126</v>
      </c>
      <c r="B52" s="131">
        <v>0.0</v>
      </c>
      <c r="C52" s="132">
        <v>0.0</v>
      </c>
      <c r="D52" s="132">
        <v>0.0</v>
      </c>
      <c r="E52" s="132">
        <v>0.0</v>
      </c>
      <c r="F52" s="132">
        <v>0.0</v>
      </c>
      <c r="G52" s="132">
        <v>0.0</v>
      </c>
    </row>
    <row r="53">
      <c r="A53" s="130" t="s">
        <v>137</v>
      </c>
      <c r="B53" s="131" t="s">
        <v>26</v>
      </c>
      <c r="C53" s="132" t="s">
        <v>26</v>
      </c>
      <c r="D53" s="132" t="s">
        <v>26</v>
      </c>
      <c r="E53" s="132">
        <v>0.0</v>
      </c>
      <c r="F53" s="132">
        <v>0.0</v>
      </c>
      <c r="G53" s="132" t="s">
        <v>26</v>
      </c>
    </row>
    <row r="54">
      <c r="A54" s="130" t="s">
        <v>127</v>
      </c>
      <c r="B54" s="131">
        <v>411.6</v>
      </c>
      <c r="C54" s="132">
        <v>1116.2</v>
      </c>
      <c r="D54" s="132">
        <v>1631.6</v>
      </c>
      <c r="E54" s="132">
        <v>3959.5</v>
      </c>
      <c r="F54" s="132">
        <v>559.6</v>
      </c>
      <c r="G54" s="132">
        <v>1872.9</v>
      </c>
    </row>
    <row r="55">
      <c r="A55" s="127" t="s">
        <v>128</v>
      </c>
      <c r="B55" s="128">
        <v>6414.0</v>
      </c>
      <c r="C55" s="129">
        <v>7866.5</v>
      </c>
      <c r="D55" s="129">
        <v>9435.1</v>
      </c>
      <c r="E55" s="129">
        <v>12905.7</v>
      </c>
      <c r="F55" s="129">
        <v>12727.8</v>
      </c>
      <c r="G55" s="129">
        <v>11158.6</v>
      </c>
    </row>
    <row r="56">
      <c r="A56" s="130" t="s">
        <v>129</v>
      </c>
      <c r="B56" s="131">
        <v>3086.8</v>
      </c>
      <c r="C56" s="132">
        <v>4250.0</v>
      </c>
      <c r="D56" s="132">
        <v>11785.6</v>
      </c>
      <c r="E56" s="132">
        <v>9934.8</v>
      </c>
      <c r="F56" s="132">
        <v>6649.6</v>
      </c>
      <c r="G56" s="132">
        <v>9096.3</v>
      </c>
    </row>
    <row r="57">
      <c r="A57" s="130" t="s">
        <v>130</v>
      </c>
      <c r="B57" s="131">
        <v>3086.8</v>
      </c>
      <c r="C57" s="132">
        <v>4250.0</v>
      </c>
      <c r="D57" s="132">
        <v>4100.0</v>
      </c>
      <c r="E57" s="132">
        <v>2450.0</v>
      </c>
      <c r="F57" s="132">
        <v>0.0</v>
      </c>
      <c r="G57" s="132">
        <v>2500.0</v>
      </c>
    </row>
    <row r="58">
      <c r="A58" s="130" t="s">
        <v>131</v>
      </c>
      <c r="B58" s="131">
        <v>0.0</v>
      </c>
      <c r="C58" s="132">
        <v>0.0</v>
      </c>
      <c r="D58" s="132">
        <v>7685.6</v>
      </c>
      <c r="E58" s="132">
        <v>7484.8</v>
      </c>
      <c r="F58" s="132">
        <v>6649.6</v>
      </c>
      <c r="G58" s="132">
        <v>6596.3</v>
      </c>
    </row>
    <row r="59">
      <c r="A59" s="133" t="s">
        <v>132</v>
      </c>
      <c r="B59" s="134">
        <v>0.0</v>
      </c>
      <c r="C59" s="135">
        <v>0.0</v>
      </c>
      <c r="D59" s="135" t="s">
        <v>26</v>
      </c>
      <c r="E59" s="135" t="s">
        <v>26</v>
      </c>
      <c r="F59" s="135" t="s">
        <v>26</v>
      </c>
      <c r="G59" s="135" t="s">
        <v>26</v>
      </c>
    </row>
    <row r="60">
      <c r="A60" s="130" t="s">
        <v>133</v>
      </c>
      <c r="B60" s="131">
        <v>206.6</v>
      </c>
      <c r="C60" s="132">
        <v>218.9</v>
      </c>
      <c r="D60" s="132">
        <v>278.9</v>
      </c>
      <c r="E60" s="132">
        <v>214.2</v>
      </c>
      <c r="F60" s="132">
        <v>190.3</v>
      </c>
      <c r="G60" s="132">
        <v>179.9</v>
      </c>
    </row>
    <row r="61">
      <c r="A61" s="130" t="s">
        <v>134</v>
      </c>
      <c r="B61" s="131">
        <v>0.0</v>
      </c>
      <c r="C61" s="132">
        <v>0.0</v>
      </c>
      <c r="D61" s="132">
        <v>0.0</v>
      </c>
      <c r="E61" s="132">
        <v>0.0</v>
      </c>
      <c r="F61" s="132">
        <v>0.0</v>
      </c>
      <c r="G61" s="132">
        <v>0.0</v>
      </c>
    </row>
    <row r="62">
      <c r="A62" s="130" t="s">
        <v>135</v>
      </c>
      <c r="B62" s="131">
        <v>0.0</v>
      </c>
      <c r="C62" s="132">
        <v>0.0</v>
      </c>
      <c r="D62" s="132">
        <v>0.0</v>
      </c>
      <c r="E62" s="132">
        <v>0.0</v>
      </c>
      <c r="F62" s="132">
        <v>0.0</v>
      </c>
      <c r="G62" s="132">
        <v>0.0</v>
      </c>
    </row>
    <row r="63">
      <c r="A63" s="133" t="s">
        <v>222</v>
      </c>
      <c r="B63" s="134">
        <v>0.0</v>
      </c>
      <c r="C63" s="135">
        <v>0.0</v>
      </c>
      <c r="D63" s="135">
        <v>0.0</v>
      </c>
      <c r="E63" s="135">
        <v>0.0</v>
      </c>
      <c r="F63" s="135">
        <v>0.0</v>
      </c>
      <c r="G63" s="135">
        <v>0.0</v>
      </c>
    </row>
    <row r="64">
      <c r="A64" s="133" t="s">
        <v>223</v>
      </c>
      <c r="B64" s="134">
        <v>0.0</v>
      </c>
      <c r="C64" s="135">
        <v>0.0</v>
      </c>
      <c r="D64" s="135">
        <v>0.0</v>
      </c>
      <c r="E64" s="135">
        <v>0.0</v>
      </c>
      <c r="F64" s="135">
        <v>0.0</v>
      </c>
      <c r="G64" s="135">
        <v>0.0</v>
      </c>
    </row>
    <row r="65">
      <c r="A65" s="130" t="s">
        <v>136</v>
      </c>
      <c r="B65" s="131">
        <v>83.2</v>
      </c>
      <c r="C65" s="132">
        <v>116.8</v>
      </c>
      <c r="D65" s="132">
        <v>179.6</v>
      </c>
      <c r="E65" s="132">
        <v>156.4</v>
      </c>
      <c r="F65" s="132">
        <v>165.8</v>
      </c>
      <c r="G65" s="132">
        <v>152.4</v>
      </c>
    </row>
    <row r="66">
      <c r="A66" s="130" t="s">
        <v>125</v>
      </c>
      <c r="B66" s="131">
        <v>0.0</v>
      </c>
      <c r="C66" s="132">
        <v>0.0</v>
      </c>
      <c r="D66" s="132">
        <v>0.0</v>
      </c>
      <c r="E66" s="132">
        <v>0.0</v>
      </c>
      <c r="F66" s="132">
        <v>0.0</v>
      </c>
      <c r="G66" s="132">
        <v>0.0</v>
      </c>
    </row>
    <row r="67">
      <c r="A67" s="130" t="s">
        <v>137</v>
      </c>
      <c r="B67" s="131">
        <v>0.0</v>
      </c>
      <c r="C67" s="132">
        <v>0.0</v>
      </c>
      <c r="D67" s="132">
        <v>0.0</v>
      </c>
      <c r="E67" s="132">
        <v>0.0</v>
      </c>
      <c r="F67" s="132">
        <v>0.0</v>
      </c>
      <c r="G67" s="132" t="s">
        <v>26</v>
      </c>
    </row>
    <row r="68">
      <c r="A68" s="130" t="s">
        <v>126</v>
      </c>
      <c r="B68" s="131">
        <v>0.0</v>
      </c>
      <c r="C68" s="132">
        <v>0.0</v>
      </c>
      <c r="D68" s="132">
        <v>0.0</v>
      </c>
      <c r="E68" s="132">
        <v>0.0</v>
      </c>
      <c r="F68" s="132">
        <v>0.0</v>
      </c>
      <c r="G68" s="132">
        <v>0.0</v>
      </c>
    </row>
    <row r="69">
      <c r="A69" s="130" t="s">
        <v>138</v>
      </c>
      <c r="B69" s="131">
        <v>123.4</v>
      </c>
      <c r="C69" s="132">
        <v>102.1</v>
      </c>
      <c r="D69" s="132">
        <v>99.3</v>
      </c>
      <c r="E69" s="132">
        <v>57.8</v>
      </c>
      <c r="F69" s="132">
        <v>24.5</v>
      </c>
      <c r="G69" s="132">
        <v>27.5</v>
      </c>
    </row>
    <row r="70">
      <c r="A70" s="127" t="s">
        <v>139</v>
      </c>
      <c r="B70" s="128">
        <v>3293.4</v>
      </c>
      <c r="C70" s="129">
        <v>4468.9</v>
      </c>
      <c r="D70" s="129">
        <v>12064.5</v>
      </c>
      <c r="E70" s="129">
        <v>10149.0</v>
      </c>
      <c r="F70" s="129">
        <v>6839.9</v>
      </c>
      <c r="G70" s="129">
        <v>9276.2</v>
      </c>
    </row>
    <row r="71">
      <c r="A71" s="127" t="s">
        <v>140</v>
      </c>
      <c r="B71" s="128">
        <v>9707.4</v>
      </c>
      <c r="C71" s="129">
        <v>12335.4</v>
      </c>
      <c r="D71" s="129">
        <v>21499.6</v>
      </c>
      <c r="E71" s="129">
        <v>23054.7</v>
      </c>
      <c r="F71" s="129">
        <v>19567.7</v>
      </c>
      <c r="G71" s="129">
        <v>20434.8</v>
      </c>
    </row>
    <row r="72">
      <c r="A72" s="130" t="s">
        <v>141</v>
      </c>
      <c r="B72" s="131">
        <v>0.0</v>
      </c>
      <c r="C72" s="132">
        <v>0.0</v>
      </c>
      <c r="D72" s="132">
        <v>0.0</v>
      </c>
      <c r="E72" s="132">
        <v>0.0</v>
      </c>
      <c r="F72" s="132">
        <v>0.0</v>
      </c>
      <c r="G72" s="132">
        <v>0.0</v>
      </c>
    </row>
    <row r="73">
      <c r="A73" s="130" t="s">
        <v>142</v>
      </c>
      <c r="B73" s="131">
        <v>585.1</v>
      </c>
      <c r="C73" s="132">
        <v>585.1</v>
      </c>
      <c r="D73" s="132">
        <v>585.1</v>
      </c>
      <c r="E73" s="132">
        <v>585.1</v>
      </c>
      <c r="F73" s="132">
        <v>585.1</v>
      </c>
      <c r="G73" s="132">
        <v>585.1</v>
      </c>
    </row>
    <row r="74">
      <c r="A74" s="130" t="s">
        <v>143</v>
      </c>
      <c r="B74" s="131">
        <v>237.6</v>
      </c>
      <c r="C74" s="132">
        <v>237.6</v>
      </c>
      <c r="D74" s="132">
        <v>237.6</v>
      </c>
      <c r="E74" s="132">
        <v>237.6</v>
      </c>
      <c r="F74" s="132">
        <v>237.6</v>
      </c>
      <c r="G74" s="132">
        <v>237.6</v>
      </c>
    </row>
    <row r="75">
      <c r="A75" s="130" t="s">
        <v>144</v>
      </c>
      <c r="B75" s="131">
        <v>347.5</v>
      </c>
      <c r="C75" s="132">
        <v>347.5</v>
      </c>
      <c r="D75" s="132">
        <v>347.5</v>
      </c>
      <c r="E75" s="132">
        <v>347.5</v>
      </c>
      <c r="F75" s="132">
        <v>347.5</v>
      </c>
      <c r="G75" s="132">
        <v>347.5</v>
      </c>
    </row>
    <row r="76">
      <c r="A76" s="130" t="s">
        <v>145</v>
      </c>
      <c r="B76" s="131">
        <v>0.0</v>
      </c>
      <c r="C76" s="132">
        <v>0.0</v>
      </c>
      <c r="D76" s="132">
        <v>0.0</v>
      </c>
      <c r="E76" s="132">
        <v>0.0</v>
      </c>
      <c r="F76" s="132">
        <v>0.0</v>
      </c>
      <c r="G76" s="132">
        <v>0.0</v>
      </c>
    </row>
    <row r="77">
      <c r="A77" s="130" t="s">
        <v>146</v>
      </c>
      <c r="B77" s="131">
        <v>3781.4</v>
      </c>
      <c r="C77" s="132">
        <v>4407.6</v>
      </c>
      <c r="D77" s="132">
        <v>3695.9</v>
      </c>
      <c r="E77" s="132">
        <v>4707.2</v>
      </c>
      <c r="F77" s="132">
        <v>7505.2</v>
      </c>
      <c r="G77" s="132">
        <v>10577.0</v>
      </c>
    </row>
    <row r="78">
      <c r="A78" s="130" t="s">
        <v>147</v>
      </c>
      <c r="B78" s="131">
        <v>951.6</v>
      </c>
      <c r="C78" s="132">
        <v>784.5</v>
      </c>
      <c r="D78" s="132">
        <v>627.3</v>
      </c>
      <c r="E78" s="132">
        <v>627.3</v>
      </c>
      <c r="F78" s="132">
        <v>629.6</v>
      </c>
      <c r="G78" s="132">
        <v>633.5</v>
      </c>
    </row>
    <row r="79">
      <c r="A79" s="127" t="s">
        <v>148</v>
      </c>
      <c r="B79" s="128">
        <v>5318.1</v>
      </c>
      <c r="C79" s="129">
        <v>5777.2</v>
      </c>
      <c r="D79" s="129">
        <v>4908.3</v>
      </c>
      <c r="E79" s="129">
        <v>5919.6</v>
      </c>
      <c r="F79" s="129">
        <v>8719.9</v>
      </c>
      <c r="G79" s="129">
        <v>11795.6</v>
      </c>
    </row>
    <row r="80">
      <c r="A80" s="130" t="s">
        <v>149</v>
      </c>
      <c r="B80" s="131">
        <v>0.0</v>
      </c>
      <c r="C80" s="132">
        <v>0.0</v>
      </c>
      <c r="D80" s="132">
        <v>0.0</v>
      </c>
      <c r="E80" s="132">
        <v>0.0</v>
      </c>
      <c r="F80" s="132">
        <v>0.0</v>
      </c>
      <c r="G80" s="132">
        <v>0.0</v>
      </c>
    </row>
    <row r="81">
      <c r="A81" s="127" t="s">
        <v>150</v>
      </c>
      <c r="B81" s="128">
        <v>5318.1</v>
      </c>
      <c r="C81" s="129">
        <v>5777.2</v>
      </c>
      <c r="D81" s="129">
        <v>4908.3</v>
      </c>
      <c r="E81" s="129">
        <v>5919.6</v>
      </c>
      <c r="F81" s="129">
        <v>8719.9</v>
      </c>
      <c r="G81" s="129">
        <v>11795.6</v>
      </c>
    </row>
    <row r="82">
      <c r="A82" s="127" t="s">
        <v>151</v>
      </c>
      <c r="B82" s="128">
        <v>15025.5</v>
      </c>
      <c r="C82" s="129">
        <v>18112.6</v>
      </c>
      <c r="D82" s="129">
        <v>26407.9</v>
      </c>
      <c r="E82" s="129">
        <v>28974.3</v>
      </c>
      <c r="F82" s="129">
        <v>28287.6</v>
      </c>
      <c r="G82" s="129">
        <v>32230.4</v>
      </c>
    </row>
    <row r="83">
      <c r="A83" s="136"/>
      <c r="B83" s="137"/>
      <c r="C83" s="138"/>
      <c r="D83" s="138"/>
      <c r="E83" s="138"/>
      <c r="F83" s="138"/>
      <c r="G83" s="138"/>
    </row>
    <row r="84">
      <c r="A84" s="127" t="s">
        <v>219</v>
      </c>
      <c r="B84" s="137"/>
      <c r="C84" s="138"/>
      <c r="D84" s="138"/>
      <c r="E84" s="138"/>
      <c r="F84" s="138"/>
      <c r="G84" s="138"/>
    </row>
    <row r="85">
      <c r="A85" s="130" t="s">
        <v>153</v>
      </c>
      <c r="B85" s="141" t="s">
        <v>154</v>
      </c>
      <c r="C85" s="142" t="s">
        <v>154</v>
      </c>
      <c r="D85" s="142" t="s">
        <v>154</v>
      </c>
      <c r="E85" s="142" t="s">
        <v>154</v>
      </c>
      <c r="F85" s="142" t="s">
        <v>154</v>
      </c>
      <c r="G85" s="142" t="s">
        <v>154</v>
      </c>
    </row>
    <row r="86">
      <c r="A86" s="130" t="s">
        <v>224</v>
      </c>
      <c r="B86" s="131">
        <v>23.7279</v>
      </c>
      <c r="C86" s="132">
        <v>23.7279</v>
      </c>
      <c r="D86" s="132">
        <v>23.7279</v>
      </c>
      <c r="E86" s="132">
        <v>23.7279</v>
      </c>
      <c r="F86" s="132">
        <v>23.7279</v>
      </c>
      <c r="G86" s="132">
        <v>23.7279</v>
      </c>
    </row>
    <row r="87">
      <c r="A87" s="130" t="s">
        <v>225</v>
      </c>
      <c r="B87" s="131">
        <v>0.0</v>
      </c>
      <c r="C87" s="132">
        <v>0.0</v>
      </c>
      <c r="D87" s="132">
        <v>0.0</v>
      </c>
      <c r="E87" s="132">
        <v>0.0</v>
      </c>
      <c r="F87" s="132">
        <v>0.0</v>
      </c>
      <c r="G87" s="132">
        <v>0.0</v>
      </c>
    </row>
    <row r="88">
      <c r="A88" s="130" t="s">
        <v>226</v>
      </c>
      <c r="B88" s="131">
        <v>0.0</v>
      </c>
      <c r="C88" s="132">
        <v>0.0</v>
      </c>
      <c r="D88" s="132">
        <v>0.0</v>
      </c>
      <c r="E88" s="132">
        <v>0.0</v>
      </c>
      <c r="F88" s="132">
        <v>165.8</v>
      </c>
      <c r="G88" s="132">
        <v>0.0</v>
      </c>
    </row>
    <row r="89">
      <c r="A89" s="130" t="s">
        <v>227</v>
      </c>
      <c r="B89" s="131">
        <v>9530.0</v>
      </c>
      <c r="C89" s="132">
        <v>7738.9</v>
      </c>
      <c r="D89" s="132" t="s">
        <v>26</v>
      </c>
      <c r="E89" s="132" t="s">
        <v>26</v>
      </c>
      <c r="F89" s="132" t="s">
        <v>26</v>
      </c>
      <c r="G89" s="132" t="s">
        <v>26</v>
      </c>
    </row>
    <row r="90">
      <c r="A90" s="130" t="s">
        <v>228</v>
      </c>
      <c r="B90" s="131">
        <v>0.0</v>
      </c>
      <c r="C90" s="132">
        <v>0.0</v>
      </c>
      <c r="D90" s="132" t="s">
        <v>26</v>
      </c>
      <c r="E90" s="132" t="s">
        <v>26</v>
      </c>
      <c r="F90" s="132" t="s">
        <v>26</v>
      </c>
      <c r="G90" s="132" t="s">
        <v>26</v>
      </c>
    </row>
    <row r="91">
      <c r="A91" s="130" t="s">
        <v>229</v>
      </c>
      <c r="B91" s="143">
        <v>6.85</v>
      </c>
      <c r="C91" s="144">
        <v>4.67</v>
      </c>
      <c r="D91" s="144">
        <v>2.84</v>
      </c>
      <c r="E91" s="144">
        <v>2.21</v>
      </c>
      <c r="F91" s="144">
        <v>3.56</v>
      </c>
      <c r="G91" s="144" t="s">
        <v>26</v>
      </c>
    </row>
    <row r="92">
      <c r="A92" s="130" t="s">
        <v>230</v>
      </c>
      <c r="B92" s="143">
        <v>17192.0</v>
      </c>
      <c r="C92" s="144">
        <v>17438.0</v>
      </c>
      <c r="D92" s="144">
        <v>17299.0</v>
      </c>
      <c r="E92" s="144">
        <v>22702.0</v>
      </c>
      <c r="F92" s="144">
        <v>30367.0</v>
      </c>
      <c r="G92" s="144">
        <v>37562.0</v>
      </c>
    </row>
    <row r="93">
      <c r="A93" s="130" t="s">
        <v>231</v>
      </c>
      <c r="B93" s="131">
        <v>0.0</v>
      </c>
      <c r="C93" s="132">
        <v>0.0</v>
      </c>
      <c r="D93" s="132">
        <v>0.0</v>
      </c>
      <c r="E93" s="132" t="s">
        <v>26</v>
      </c>
      <c r="F93" s="132" t="s">
        <v>26</v>
      </c>
      <c r="G93" s="132">
        <v>0.0105</v>
      </c>
    </row>
    <row r="94">
      <c r="A94" s="130" t="s">
        <v>232</v>
      </c>
      <c r="B94" s="131">
        <v>0.0</v>
      </c>
      <c r="C94" s="132">
        <v>0.0</v>
      </c>
      <c r="D94" s="132">
        <v>0.0</v>
      </c>
      <c r="E94" s="132" t="s">
        <v>26</v>
      </c>
      <c r="F94" s="132" t="s">
        <v>26</v>
      </c>
      <c r="G94" s="132">
        <v>0.0163</v>
      </c>
    </row>
    <row r="95">
      <c r="A95" s="130" t="s">
        <v>233</v>
      </c>
      <c r="B95" s="131">
        <v>1782.4</v>
      </c>
      <c r="C95" s="132">
        <v>2274.7</v>
      </c>
      <c r="D95" s="132">
        <v>12409.2</v>
      </c>
      <c r="E95" s="132">
        <v>7115.6</v>
      </c>
      <c r="F95" s="132">
        <v>6742.2</v>
      </c>
      <c r="G95" s="132">
        <v>8537.3</v>
      </c>
    </row>
    <row r="96">
      <c r="A96" s="130" t="s">
        <v>234</v>
      </c>
      <c r="B96" s="143">
        <v>33.5157</v>
      </c>
      <c r="C96" s="144">
        <v>39.3737</v>
      </c>
      <c r="D96" s="144">
        <v>252.8207</v>
      </c>
      <c r="E96" s="144">
        <v>120.2041</v>
      </c>
      <c r="F96" s="144">
        <v>77.3197</v>
      </c>
      <c r="G96" s="144">
        <v>72.377</v>
      </c>
    </row>
    <row r="97">
      <c r="A97" s="130" t="s">
        <v>235</v>
      </c>
      <c r="B97" s="143">
        <v>31.1136</v>
      </c>
      <c r="C97" s="144">
        <v>27.7533</v>
      </c>
      <c r="D97" s="144">
        <v>15.4168</v>
      </c>
      <c r="E97" s="144">
        <v>18.2089</v>
      </c>
      <c r="F97" s="144">
        <v>28.7789</v>
      </c>
      <c r="G97" s="144">
        <v>35.1291</v>
      </c>
    </row>
    <row r="98">
      <c r="A98" s="130" t="s">
        <v>236</v>
      </c>
      <c r="B98" s="143">
        <v>1.1534</v>
      </c>
      <c r="C98" s="144">
        <v>1.0973</v>
      </c>
      <c r="D98" s="144">
        <v>0.7645</v>
      </c>
      <c r="E98" s="144">
        <v>0.8371</v>
      </c>
      <c r="F98" s="144">
        <v>0.8456</v>
      </c>
      <c r="G98" s="144">
        <v>0.9503</v>
      </c>
    </row>
    <row r="99">
      <c r="A99" s="145" t="s">
        <v>237</v>
      </c>
      <c r="B99" s="149">
        <v>11421.0</v>
      </c>
      <c r="C99" s="150">
        <v>13373.0</v>
      </c>
      <c r="D99" s="150">
        <v>12277.0</v>
      </c>
      <c r="E99" s="150">
        <v>10929.0</v>
      </c>
      <c r="F99" s="150">
        <v>12288.0</v>
      </c>
      <c r="G99" s="150">
        <v>12594.0</v>
      </c>
    </row>
    <row r="100">
      <c r="B100" s="148"/>
    </row>
    <row r="101">
      <c r="B101" s="148"/>
    </row>
    <row r="102">
      <c r="B102" s="148"/>
    </row>
    <row r="103">
      <c r="B103" s="148"/>
    </row>
    <row r="104">
      <c r="B104" s="148"/>
    </row>
    <row r="105">
      <c r="B105" s="148"/>
    </row>
    <row r="106">
      <c r="B106" s="148"/>
    </row>
    <row r="107">
      <c r="B107" s="148"/>
    </row>
    <row r="108">
      <c r="B108" s="148"/>
    </row>
    <row r="109">
      <c r="B109" s="148"/>
    </row>
    <row r="110">
      <c r="B110" s="148"/>
    </row>
    <row r="111">
      <c r="B111" s="148"/>
    </row>
    <row r="112">
      <c r="B112" s="148"/>
    </row>
    <row r="113">
      <c r="B113" s="148"/>
    </row>
    <row r="114">
      <c r="B114" s="148"/>
    </row>
    <row r="115">
      <c r="B115" s="148"/>
    </row>
    <row r="116">
      <c r="B116" s="148"/>
    </row>
    <row r="117">
      <c r="B117" s="148"/>
    </row>
    <row r="118">
      <c r="B118" s="148"/>
    </row>
    <row r="119">
      <c r="B119" s="148"/>
    </row>
    <row r="120">
      <c r="B120" s="148"/>
    </row>
    <row r="121">
      <c r="B121" s="148"/>
    </row>
    <row r="122">
      <c r="B122" s="148"/>
    </row>
    <row r="123">
      <c r="B123" s="148"/>
    </row>
    <row r="124">
      <c r="B124" s="148"/>
    </row>
    <row r="125">
      <c r="B125" s="148"/>
    </row>
    <row r="126">
      <c r="B126" s="148"/>
    </row>
    <row r="127">
      <c r="B127" s="148"/>
    </row>
    <row r="128">
      <c r="B128" s="148"/>
    </row>
    <row r="129">
      <c r="B129" s="148"/>
    </row>
    <row r="130">
      <c r="B130" s="148"/>
    </row>
    <row r="131">
      <c r="B131" s="148"/>
    </row>
    <row r="132">
      <c r="B132" s="148"/>
    </row>
    <row r="133">
      <c r="B133" s="148"/>
    </row>
    <row r="134">
      <c r="B134" s="148"/>
    </row>
    <row r="135">
      <c r="B135" s="148"/>
    </row>
    <row r="136">
      <c r="B136" s="148"/>
    </row>
    <row r="137">
      <c r="B137" s="148"/>
    </row>
    <row r="138">
      <c r="B138" s="148"/>
    </row>
    <row r="139">
      <c r="B139" s="148"/>
    </row>
    <row r="140">
      <c r="B140" s="148"/>
    </row>
    <row r="141">
      <c r="B141" s="148"/>
    </row>
    <row r="142">
      <c r="B142" s="148"/>
    </row>
    <row r="143">
      <c r="B143" s="148"/>
    </row>
    <row r="144">
      <c r="B144" s="148"/>
    </row>
    <row r="145">
      <c r="B145" s="148"/>
    </row>
    <row r="146">
      <c r="B146" s="148"/>
    </row>
    <row r="147">
      <c r="B147" s="148"/>
    </row>
    <row r="148">
      <c r="B148" s="148"/>
    </row>
    <row r="149">
      <c r="B149" s="148"/>
    </row>
    <row r="150">
      <c r="B150" s="148"/>
    </row>
    <row r="151">
      <c r="B151" s="148"/>
    </row>
    <row r="152">
      <c r="B152" s="148"/>
    </row>
    <row r="153">
      <c r="B153" s="148"/>
    </row>
    <row r="154">
      <c r="B154" s="148"/>
    </row>
    <row r="155">
      <c r="B155" s="148"/>
    </row>
    <row r="156">
      <c r="B156" s="148"/>
    </row>
    <row r="157">
      <c r="B157" s="148"/>
    </row>
    <row r="158">
      <c r="B158" s="148"/>
    </row>
    <row r="159">
      <c r="B159" s="148"/>
    </row>
    <row r="160">
      <c r="B160" s="148"/>
    </row>
    <row r="161">
      <c r="B161" s="148"/>
    </row>
    <row r="162">
      <c r="B162" s="148"/>
    </row>
    <row r="163">
      <c r="B163" s="148"/>
    </row>
    <row r="164">
      <c r="B164" s="148"/>
    </row>
    <row r="165">
      <c r="B165" s="148"/>
    </row>
    <row r="166">
      <c r="B166" s="148"/>
    </row>
    <row r="167">
      <c r="B167" s="148"/>
    </row>
    <row r="168">
      <c r="B168" s="148"/>
    </row>
    <row r="169">
      <c r="B169" s="148"/>
    </row>
    <row r="170">
      <c r="B170" s="148"/>
    </row>
    <row r="171">
      <c r="B171" s="148"/>
    </row>
    <row r="172">
      <c r="B172" s="148"/>
    </row>
    <row r="173">
      <c r="B173" s="148"/>
    </row>
    <row r="174">
      <c r="B174" s="148"/>
    </row>
    <row r="175">
      <c r="B175" s="148"/>
    </row>
    <row r="176">
      <c r="B176" s="148"/>
    </row>
    <row r="177">
      <c r="B177" s="148"/>
    </row>
    <row r="178">
      <c r="B178" s="148"/>
    </row>
    <row r="179">
      <c r="B179" s="148"/>
    </row>
    <row r="180">
      <c r="B180" s="148"/>
    </row>
    <row r="181">
      <c r="B181" s="148"/>
    </row>
    <row r="182">
      <c r="B182" s="148"/>
    </row>
    <row r="183">
      <c r="B183" s="148"/>
    </row>
    <row r="184">
      <c r="B184" s="148"/>
    </row>
    <row r="185">
      <c r="B185" s="148"/>
    </row>
    <row r="186">
      <c r="B186" s="148"/>
    </row>
    <row r="187">
      <c r="B187" s="148"/>
    </row>
    <row r="188">
      <c r="B188" s="148"/>
    </row>
    <row r="189">
      <c r="B189" s="148"/>
    </row>
    <row r="190">
      <c r="B190" s="148"/>
    </row>
    <row r="191">
      <c r="B191" s="148"/>
    </row>
    <row r="192">
      <c r="B192" s="148"/>
    </row>
    <row r="193">
      <c r="B193" s="148"/>
    </row>
    <row r="194">
      <c r="B194" s="148"/>
    </row>
    <row r="195">
      <c r="B195" s="148"/>
    </row>
    <row r="196">
      <c r="B196" s="148"/>
    </row>
    <row r="197">
      <c r="B197" s="148"/>
    </row>
    <row r="198">
      <c r="B198" s="148"/>
    </row>
    <row r="199">
      <c r="B199" s="148"/>
    </row>
    <row r="200">
      <c r="B200" s="148"/>
    </row>
    <row r="201">
      <c r="B201" s="148"/>
    </row>
    <row r="202">
      <c r="B202" s="148"/>
    </row>
    <row r="203">
      <c r="B203" s="148"/>
    </row>
    <row r="204">
      <c r="B204" s="148"/>
    </row>
    <row r="205">
      <c r="B205" s="148"/>
    </row>
    <row r="206">
      <c r="B206" s="148"/>
    </row>
    <row r="207">
      <c r="B207" s="148"/>
    </row>
    <row r="208">
      <c r="B208" s="148"/>
    </row>
    <row r="209">
      <c r="B209" s="148"/>
    </row>
    <row r="210">
      <c r="B210" s="148"/>
    </row>
    <row r="211">
      <c r="B211" s="148"/>
    </row>
    <row r="212">
      <c r="B212" s="148"/>
    </row>
    <row r="213">
      <c r="B213" s="148"/>
    </row>
    <row r="214">
      <c r="B214" s="148"/>
    </row>
    <row r="215">
      <c r="B215" s="148"/>
    </row>
    <row r="216">
      <c r="B216" s="148"/>
    </row>
    <row r="217">
      <c r="B217" s="148"/>
    </row>
    <row r="218">
      <c r="B218" s="148"/>
    </row>
    <row r="219">
      <c r="B219" s="148"/>
    </row>
    <row r="220">
      <c r="B220" s="148"/>
    </row>
    <row r="221">
      <c r="B221" s="148"/>
    </row>
    <row r="222">
      <c r="B222" s="148"/>
    </row>
    <row r="223">
      <c r="B223" s="148"/>
    </row>
    <row r="224">
      <c r="B224" s="148"/>
    </row>
    <row r="225">
      <c r="B225" s="148"/>
    </row>
    <row r="226">
      <c r="B226" s="148"/>
    </row>
    <row r="227">
      <c r="B227" s="148"/>
    </row>
    <row r="228">
      <c r="B228" s="148"/>
    </row>
    <row r="229">
      <c r="B229" s="148"/>
    </row>
    <row r="230">
      <c r="B230" s="148"/>
    </row>
    <row r="231">
      <c r="B231" s="148"/>
    </row>
    <row r="232">
      <c r="B232" s="148"/>
    </row>
    <row r="233">
      <c r="B233" s="148"/>
    </row>
    <row r="234">
      <c r="B234" s="148"/>
    </row>
    <row r="235">
      <c r="B235" s="148"/>
    </row>
    <row r="236">
      <c r="B236" s="148"/>
    </row>
    <row r="237">
      <c r="B237" s="148"/>
    </row>
    <row r="238">
      <c r="B238" s="148"/>
    </row>
    <row r="239">
      <c r="B239" s="148"/>
    </row>
    <row r="240">
      <c r="B240" s="148"/>
    </row>
    <row r="241">
      <c r="B241" s="148"/>
    </row>
    <row r="242">
      <c r="B242" s="148"/>
    </row>
    <row r="243">
      <c r="B243" s="148"/>
    </row>
    <row r="244">
      <c r="B244" s="148"/>
    </row>
    <row r="245">
      <c r="B245" s="148"/>
    </row>
    <row r="246">
      <c r="B246" s="148"/>
    </row>
    <row r="247">
      <c r="B247" s="148"/>
    </row>
    <row r="248">
      <c r="B248" s="148"/>
    </row>
    <row r="249">
      <c r="B249" s="148"/>
    </row>
    <row r="250">
      <c r="B250" s="148"/>
    </row>
    <row r="251">
      <c r="B251" s="148"/>
    </row>
    <row r="252">
      <c r="B252" s="148"/>
    </row>
    <row r="253">
      <c r="B253" s="148"/>
    </row>
    <row r="254">
      <c r="B254" s="148"/>
    </row>
    <row r="255">
      <c r="B255" s="148"/>
    </row>
    <row r="256">
      <c r="B256" s="148"/>
    </row>
    <row r="257">
      <c r="B257" s="148"/>
    </row>
    <row r="258">
      <c r="B258" s="148"/>
    </row>
    <row r="259">
      <c r="B259" s="148"/>
    </row>
    <row r="260">
      <c r="B260" s="148"/>
    </row>
    <row r="261">
      <c r="B261" s="148"/>
    </row>
    <row r="262">
      <c r="B262" s="148"/>
    </row>
    <row r="263">
      <c r="B263" s="148"/>
    </row>
    <row r="264">
      <c r="B264" s="148"/>
    </row>
    <row r="265">
      <c r="B265" s="148"/>
    </row>
    <row r="266">
      <c r="B266" s="148"/>
    </row>
    <row r="267">
      <c r="B267" s="148"/>
    </row>
    <row r="268">
      <c r="B268" s="148"/>
    </row>
    <row r="269">
      <c r="B269" s="148"/>
    </row>
    <row r="270">
      <c r="B270" s="148"/>
    </row>
    <row r="271">
      <c r="B271" s="148"/>
    </row>
    <row r="272">
      <c r="B272" s="148"/>
    </row>
    <row r="273">
      <c r="B273" s="148"/>
    </row>
    <row r="274">
      <c r="B274" s="148"/>
    </row>
    <row r="275">
      <c r="B275" s="148"/>
    </row>
    <row r="276">
      <c r="B276" s="148"/>
    </row>
    <row r="277">
      <c r="B277" s="148"/>
    </row>
    <row r="278">
      <c r="B278" s="148"/>
    </row>
    <row r="279">
      <c r="B279" s="148"/>
    </row>
    <row r="280">
      <c r="B280" s="148"/>
    </row>
    <row r="281">
      <c r="B281" s="148"/>
    </row>
    <row r="282">
      <c r="B282" s="148"/>
    </row>
    <row r="283">
      <c r="B283" s="148"/>
    </row>
    <row r="284">
      <c r="B284" s="148"/>
    </row>
    <row r="285">
      <c r="B285" s="148"/>
    </row>
    <row r="286">
      <c r="B286" s="148"/>
    </row>
    <row r="287">
      <c r="B287" s="148"/>
    </row>
    <row r="288">
      <c r="B288" s="148"/>
    </row>
    <row r="289">
      <c r="B289" s="148"/>
    </row>
    <row r="290">
      <c r="B290" s="148"/>
    </row>
    <row r="291">
      <c r="B291" s="148"/>
    </row>
    <row r="292">
      <c r="B292" s="148"/>
    </row>
    <row r="293">
      <c r="B293" s="148"/>
    </row>
    <row r="294">
      <c r="B294" s="148"/>
    </row>
    <row r="295">
      <c r="B295" s="148"/>
    </row>
    <row r="296">
      <c r="B296" s="148"/>
    </row>
    <row r="297">
      <c r="B297" s="148"/>
    </row>
    <row r="298">
      <c r="B298" s="148"/>
    </row>
    <row r="299">
      <c r="B299" s="148"/>
    </row>
    <row r="300">
      <c r="B300" s="148"/>
    </row>
    <row r="301">
      <c r="B301" s="148"/>
    </row>
    <row r="302">
      <c r="B302" s="148"/>
    </row>
    <row r="303">
      <c r="B303" s="148"/>
    </row>
    <row r="304">
      <c r="B304" s="148"/>
    </row>
    <row r="305">
      <c r="B305" s="148"/>
    </row>
    <row r="306">
      <c r="B306" s="148"/>
    </row>
    <row r="307">
      <c r="B307" s="148"/>
    </row>
    <row r="308">
      <c r="B308" s="148"/>
    </row>
    <row r="309">
      <c r="B309" s="148"/>
    </row>
    <row r="310">
      <c r="B310" s="148"/>
    </row>
    <row r="311">
      <c r="B311" s="148"/>
    </row>
    <row r="312">
      <c r="B312" s="148"/>
    </row>
    <row r="313">
      <c r="B313" s="148"/>
    </row>
    <row r="314">
      <c r="B314" s="148"/>
    </row>
    <row r="315">
      <c r="B315" s="148"/>
    </row>
    <row r="316">
      <c r="B316" s="148"/>
    </row>
    <row r="317">
      <c r="B317" s="148"/>
    </row>
    <row r="318">
      <c r="B318" s="148"/>
    </row>
    <row r="319">
      <c r="B319" s="148"/>
    </row>
    <row r="320">
      <c r="B320" s="148"/>
    </row>
    <row r="321">
      <c r="B321" s="148"/>
    </row>
    <row r="322">
      <c r="B322" s="148"/>
    </row>
    <row r="323">
      <c r="B323" s="148"/>
    </row>
    <row r="324">
      <c r="B324" s="148"/>
    </row>
    <row r="325">
      <c r="B325" s="148"/>
    </row>
    <row r="326">
      <c r="B326" s="148"/>
    </row>
    <row r="327">
      <c r="B327" s="148"/>
    </row>
    <row r="328">
      <c r="B328" s="148"/>
    </row>
    <row r="329">
      <c r="B329" s="148"/>
    </row>
    <row r="330">
      <c r="B330" s="148"/>
    </row>
    <row r="331">
      <c r="B331" s="148"/>
    </row>
    <row r="332">
      <c r="B332" s="148"/>
    </row>
    <row r="333">
      <c r="B333" s="148"/>
    </row>
    <row r="334">
      <c r="B334" s="148"/>
    </row>
    <row r="335">
      <c r="B335" s="148"/>
    </row>
    <row r="336">
      <c r="B336" s="148"/>
    </row>
    <row r="337">
      <c r="B337" s="148"/>
    </row>
    <row r="338">
      <c r="B338" s="148"/>
    </row>
    <row r="339">
      <c r="B339" s="148"/>
    </row>
    <row r="340">
      <c r="B340" s="148"/>
    </row>
    <row r="341">
      <c r="B341" s="148"/>
    </row>
    <row r="342">
      <c r="B342" s="148"/>
    </row>
    <row r="343">
      <c r="B343" s="148"/>
    </row>
    <row r="344">
      <c r="B344" s="148"/>
    </row>
    <row r="345">
      <c r="B345" s="148"/>
    </row>
    <row r="346">
      <c r="B346" s="148"/>
    </row>
    <row r="347">
      <c r="B347" s="148"/>
    </row>
    <row r="348">
      <c r="B348" s="148"/>
    </row>
    <row r="349">
      <c r="B349" s="148"/>
    </row>
    <row r="350">
      <c r="B350" s="148"/>
    </row>
    <row r="351">
      <c r="B351" s="148"/>
    </row>
    <row r="352">
      <c r="B352" s="148"/>
    </row>
    <row r="353">
      <c r="B353" s="148"/>
    </row>
    <row r="354">
      <c r="B354" s="148"/>
    </row>
    <row r="355">
      <c r="B355" s="148"/>
    </row>
    <row r="356">
      <c r="B356" s="148"/>
    </row>
    <row r="357">
      <c r="B357" s="148"/>
    </row>
    <row r="358">
      <c r="B358" s="148"/>
    </row>
    <row r="359">
      <c r="B359" s="148"/>
    </row>
    <row r="360">
      <c r="B360" s="148"/>
    </row>
    <row r="361">
      <c r="B361" s="148"/>
    </row>
    <row r="362">
      <c r="B362" s="148"/>
    </row>
    <row r="363">
      <c r="B363" s="148"/>
    </row>
    <row r="364">
      <c r="B364" s="148"/>
    </row>
    <row r="365">
      <c r="B365" s="148"/>
    </row>
    <row r="366">
      <c r="B366" s="148"/>
    </row>
    <row r="367">
      <c r="B367" s="148"/>
    </row>
    <row r="368">
      <c r="B368" s="148"/>
    </row>
    <row r="369">
      <c r="B369" s="148"/>
    </row>
    <row r="370">
      <c r="B370" s="148"/>
    </row>
    <row r="371">
      <c r="B371" s="148"/>
    </row>
    <row r="372">
      <c r="B372" s="148"/>
    </row>
    <row r="373">
      <c r="B373" s="148"/>
    </row>
    <row r="374">
      <c r="B374" s="148"/>
    </row>
    <row r="375">
      <c r="B375" s="148"/>
    </row>
    <row r="376">
      <c r="B376" s="148"/>
    </row>
    <row r="377">
      <c r="B377" s="148"/>
    </row>
    <row r="378">
      <c r="B378" s="148"/>
    </row>
    <row r="379">
      <c r="B379" s="148"/>
    </row>
    <row r="380">
      <c r="B380" s="148"/>
    </row>
    <row r="381">
      <c r="B381" s="148"/>
    </row>
    <row r="382">
      <c r="B382" s="148"/>
    </row>
    <row r="383">
      <c r="B383" s="148"/>
    </row>
    <row r="384">
      <c r="B384" s="148"/>
    </row>
    <row r="385">
      <c r="B385" s="148"/>
    </row>
    <row r="386">
      <c r="B386" s="148"/>
    </row>
    <row r="387">
      <c r="B387" s="148"/>
    </row>
    <row r="388">
      <c r="B388" s="148"/>
    </row>
    <row r="389">
      <c r="B389" s="148"/>
    </row>
    <row r="390">
      <c r="B390" s="148"/>
    </row>
    <row r="391">
      <c r="B391" s="148"/>
    </row>
    <row r="392">
      <c r="B392" s="148"/>
    </row>
    <row r="393">
      <c r="B393" s="148"/>
    </row>
    <row r="394">
      <c r="B394" s="148"/>
    </row>
    <row r="395">
      <c r="B395" s="148"/>
    </row>
    <row r="396">
      <c r="B396" s="148"/>
    </row>
    <row r="397">
      <c r="B397" s="148"/>
    </row>
    <row r="398">
      <c r="B398" s="148"/>
    </row>
    <row r="399">
      <c r="B399" s="148"/>
    </row>
    <row r="400">
      <c r="B400" s="148"/>
    </row>
    <row r="401">
      <c r="B401" s="148"/>
    </row>
    <row r="402">
      <c r="B402" s="148"/>
    </row>
    <row r="403">
      <c r="B403" s="148"/>
    </row>
    <row r="404">
      <c r="B404" s="148"/>
    </row>
    <row r="405">
      <c r="B405" s="148"/>
    </row>
    <row r="406">
      <c r="B406" s="148"/>
    </row>
    <row r="407">
      <c r="B407" s="148"/>
    </row>
    <row r="408">
      <c r="B408" s="148"/>
    </row>
    <row r="409">
      <c r="B409" s="148"/>
    </row>
    <row r="410">
      <c r="B410" s="148"/>
    </row>
    <row r="411">
      <c r="B411" s="148"/>
    </row>
    <row r="412">
      <c r="B412" s="148"/>
    </row>
    <row r="413">
      <c r="B413" s="148"/>
    </row>
    <row r="414">
      <c r="B414" s="148"/>
    </row>
    <row r="415">
      <c r="B415" s="148"/>
    </row>
    <row r="416">
      <c r="B416" s="148"/>
    </row>
    <row r="417">
      <c r="B417" s="148"/>
    </row>
    <row r="418">
      <c r="B418" s="148"/>
    </row>
    <row r="419">
      <c r="B419" s="148"/>
    </row>
    <row r="420">
      <c r="B420" s="148"/>
    </row>
    <row r="421">
      <c r="B421" s="148"/>
    </row>
    <row r="422">
      <c r="B422" s="148"/>
    </row>
    <row r="423">
      <c r="B423" s="148"/>
    </row>
    <row r="424">
      <c r="B424" s="148"/>
    </row>
    <row r="425">
      <c r="B425" s="148"/>
    </row>
    <row r="426">
      <c r="B426" s="148"/>
    </row>
    <row r="427">
      <c r="B427" s="148"/>
    </row>
    <row r="428">
      <c r="B428" s="148"/>
    </row>
    <row r="429">
      <c r="B429" s="148"/>
    </row>
    <row r="430">
      <c r="B430" s="148"/>
    </row>
    <row r="431">
      <c r="B431" s="148"/>
    </row>
    <row r="432">
      <c r="B432" s="148"/>
    </row>
    <row r="433">
      <c r="B433" s="148"/>
    </row>
    <row r="434">
      <c r="B434" s="148"/>
    </row>
    <row r="435">
      <c r="B435" s="148"/>
    </row>
    <row r="436">
      <c r="B436" s="148"/>
    </row>
    <row r="437">
      <c r="B437" s="148"/>
    </row>
    <row r="438">
      <c r="B438" s="148"/>
    </row>
    <row r="439">
      <c r="B439" s="148"/>
    </row>
    <row r="440">
      <c r="B440" s="148"/>
    </row>
    <row r="441">
      <c r="B441" s="148"/>
    </row>
    <row r="442">
      <c r="B442" s="148"/>
    </row>
    <row r="443">
      <c r="B443" s="148"/>
    </row>
    <row r="444">
      <c r="B444" s="148"/>
    </row>
    <row r="445">
      <c r="B445" s="148"/>
    </row>
    <row r="446">
      <c r="B446" s="148"/>
    </row>
    <row r="447">
      <c r="B447" s="148"/>
    </row>
    <row r="448">
      <c r="B448" s="148"/>
    </row>
    <row r="449">
      <c r="B449" s="148"/>
    </row>
    <row r="450">
      <c r="B450" s="148"/>
    </row>
    <row r="451">
      <c r="B451" s="148"/>
    </row>
    <row r="452">
      <c r="B452" s="148"/>
    </row>
    <row r="453">
      <c r="B453" s="148"/>
    </row>
    <row r="454">
      <c r="B454" s="148"/>
    </row>
    <row r="455">
      <c r="B455" s="148"/>
    </row>
    <row r="456">
      <c r="B456" s="148"/>
    </row>
    <row r="457">
      <c r="B457" s="148"/>
    </row>
    <row r="458">
      <c r="B458" s="148"/>
    </row>
    <row r="459">
      <c r="B459" s="148"/>
    </row>
    <row r="460">
      <c r="B460" s="148"/>
    </row>
    <row r="461">
      <c r="B461" s="148"/>
    </row>
    <row r="462">
      <c r="B462" s="148"/>
    </row>
    <row r="463">
      <c r="B463" s="148"/>
    </row>
    <row r="464">
      <c r="B464" s="148"/>
    </row>
    <row r="465">
      <c r="B465" s="148"/>
    </row>
    <row r="466">
      <c r="B466" s="148"/>
    </row>
    <row r="467">
      <c r="B467" s="148"/>
    </row>
    <row r="468">
      <c r="B468" s="148"/>
    </row>
    <row r="469">
      <c r="B469" s="148"/>
    </row>
    <row r="470">
      <c r="B470" s="148"/>
    </row>
    <row r="471">
      <c r="B471" s="148"/>
    </row>
    <row r="472">
      <c r="B472" s="148"/>
    </row>
    <row r="473">
      <c r="B473" s="148"/>
    </row>
    <row r="474">
      <c r="B474" s="148"/>
    </row>
    <row r="475">
      <c r="B475" s="148"/>
    </row>
    <row r="476">
      <c r="B476" s="148"/>
    </row>
    <row r="477">
      <c r="B477" s="148"/>
    </row>
    <row r="478">
      <c r="B478" s="148"/>
    </row>
    <row r="479">
      <c r="B479" s="148"/>
    </row>
    <row r="480">
      <c r="B480" s="148"/>
    </row>
    <row r="481">
      <c r="B481" s="148"/>
    </row>
    <row r="482">
      <c r="B482" s="148"/>
    </row>
    <row r="483">
      <c r="B483" s="148"/>
    </row>
    <row r="484">
      <c r="B484" s="148"/>
    </row>
    <row r="485">
      <c r="B485" s="148"/>
    </row>
    <row r="486">
      <c r="B486" s="148"/>
    </row>
    <row r="487">
      <c r="B487" s="148"/>
    </row>
    <row r="488">
      <c r="B488" s="148"/>
    </row>
    <row r="489">
      <c r="B489" s="148"/>
    </row>
    <row r="490">
      <c r="B490" s="148"/>
    </row>
    <row r="491">
      <c r="B491" s="148"/>
    </row>
    <row r="492">
      <c r="B492" s="148"/>
    </row>
    <row r="493">
      <c r="B493" s="148"/>
    </row>
    <row r="494">
      <c r="B494" s="148"/>
    </row>
    <row r="495">
      <c r="B495" s="148"/>
    </row>
    <row r="496">
      <c r="B496" s="148"/>
    </row>
    <row r="497">
      <c r="B497" s="148"/>
    </row>
    <row r="498">
      <c r="B498" s="148"/>
    </row>
    <row r="499">
      <c r="B499" s="148"/>
    </row>
    <row r="500">
      <c r="B500" s="148"/>
    </row>
    <row r="501">
      <c r="B501" s="148"/>
    </row>
    <row r="502">
      <c r="B502" s="148"/>
    </row>
    <row r="503">
      <c r="B503" s="148"/>
    </row>
    <row r="504">
      <c r="B504" s="148"/>
    </row>
    <row r="505">
      <c r="B505" s="148"/>
    </row>
    <row r="506">
      <c r="B506" s="148"/>
    </row>
    <row r="507">
      <c r="B507" s="148"/>
    </row>
    <row r="508">
      <c r="B508" s="148"/>
    </row>
    <row r="509">
      <c r="B509" s="148"/>
    </row>
    <row r="510">
      <c r="B510" s="148"/>
    </row>
    <row r="511">
      <c r="B511" s="148"/>
    </row>
    <row r="512">
      <c r="B512" s="148"/>
    </row>
    <row r="513">
      <c r="B513" s="148"/>
    </row>
    <row r="514">
      <c r="B514" s="148"/>
    </row>
    <row r="515">
      <c r="B515" s="148"/>
    </row>
    <row r="516">
      <c r="B516" s="148"/>
    </row>
    <row r="517">
      <c r="B517" s="148"/>
    </row>
    <row r="518">
      <c r="B518" s="148"/>
    </row>
    <row r="519">
      <c r="B519" s="148"/>
    </row>
    <row r="520">
      <c r="B520" s="148"/>
    </row>
    <row r="521">
      <c r="B521" s="148"/>
    </row>
    <row r="522">
      <c r="B522" s="148"/>
    </row>
    <row r="523">
      <c r="B523" s="148"/>
    </row>
    <row r="524">
      <c r="B524" s="148"/>
    </row>
    <row r="525">
      <c r="B525" s="148"/>
    </row>
    <row r="526">
      <c r="B526" s="148"/>
    </row>
    <row r="527">
      <c r="B527" s="148"/>
    </row>
    <row r="528">
      <c r="B528" s="148"/>
    </row>
    <row r="529">
      <c r="B529" s="148"/>
    </row>
    <row r="530">
      <c r="B530" s="148"/>
    </row>
    <row r="531">
      <c r="B531" s="148"/>
    </row>
    <row r="532">
      <c r="B532" s="148"/>
    </row>
    <row r="533">
      <c r="B533" s="148"/>
    </row>
    <row r="534">
      <c r="B534" s="148"/>
    </row>
    <row r="535">
      <c r="B535" s="148"/>
    </row>
    <row r="536">
      <c r="B536" s="148"/>
    </row>
    <row r="537">
      <c r="B537" s="148"/>
    </row>
    <row r="538">
      <c r="B538" s="148"/>
    </row>
    <row r="539">
      <c r="B539" s="148"/>
    </row>
    <row r="540">
      <c r="B540" s="148"/>
    </row>
    <row r="541">
      <c r="B541" s="148"/>
    </row>
    <row r="542">
      <c r="B542" s="148"/>
    </row>
    <row r="543">
      <c r="B543" s="148"/>
    </row>
    <row r="544">
      <c r="B544" s="148"/>
    </row>
    <row r="545">
      <c r="B545" s="148"/>
    </row>
    <row r="546">
      <c r="B546" s="148"/>
    </row>
    <row r="547">
      <c r="B547" s="148"/>
    </row>
    <row r="548">
      <c r="B548" s="148"/>
    </row>
    <row r="549">
      <c r="B549" s="148"/>
    </row>
    <row r="550">
      <c r="B550" s="148"/>
    </row>
    <row r="551">
      <c r="B551" s="148"/>
    </row>
    <row r="552">
      <c r="B552" s="148"/>
    </row>
    <row r="553">
      <c r="B553" s="148"/>
    </row>
    <row r="554">
      <c r="B554" s="148"/>
    </row>
    <row r="555">
      <c r="B555" s="148"/>
    </row>
    <row r="556">
      <c r="B556" s="148"/>
    </row>
    <row r="557">
      <c r="B557" s="148"/>
    </row>
    <row r="558">
      <c r="B558" s="148"/>
    </row>
    <row r="559">
      <c r="B559" s="148"/>
    </row>
    <row r="560">
      <c r="B560" s="148"/>
    </row>
    <row r="561">
      <c r="B561" s="148"/>
    </row>
    <row r="562">
      <c r="B562" s="148"/>
    </row>
    <row r="563">
      <c r="B563" s="148"/>
    </row>
    <row r="564">
      <c r="B564" s="148"/>
    </row>
    <row r="565">
      <c r="B565" s="148"/>
    </row>
    <row r="566">
      <c r="B566" s="148"/>
    </row>
    <row r="567">
      <c r="B567" s="148"/>
    </row>
    <row r="568">
      <c r="B568" s="148"/>
    </row>
    <row r="569">
      <c r="B569" s="148"/>
    </row>
    <row r="570">
      <c r="B570" s="148"/>
    </row>
    <row r="571">
      <c r="B571" s="148"/>
    </row>
    <row r="572">
      <c r="B572" s="148"/>
    </row>
    <row r="573">
      <c r="B573" s="148"/>
    </row>
    <row r="574">
      <c r="B574" s="148"/>
    </row>
    <row r="575">
      <c r="B575" s="148"/>
    </row>
    <row r="576">
      <c r="B576" s="148"/>
    </row>
    <row r="577">
      <c r="B577" s="148"/>
    </row>
    <row r="578">
      <c r="B578" s="148"/>
    </row>
    <row r="579">
      <c r="B579" s="148"/>
    </row>
    <row r="580">
      <c r="B580" s="148"/>
    </row>
    <row r="581">
      <c r="B581" s="148"/>
    </row>
    <row r="582">
      <c r="B582" s="148"/>
    </row>
    <row r="583">
      <c r="B583" s="148"/>
    </row>
    <row r="584">
      <c r="B584" s="148"/>
    </row>
    <row r="585">
      <c r="B585" s="148"/>
    </row>
    <row r="586">
      <c r="B586" s="148"/>
    </row>
    <row r="587">
      <c r="B587" s="148"/>
    </row>
    <row r="588">
      <c r="B588" s="148"/>
    </row>
    <row r="589">
      <c r="B589" s="148"/>
    </row>
    <row r="590">
      <c r="B590" s="148"/>
    </row>
    <row r="591">
      <c r="B591" s="148"/>
    </row>
    <row r="592">
      <c r="B592" s="148"/>
    </row>
    <row r="593">
      <c r="B593" s="148"/>
    </row>
    <row r="594">
      <c r="B594" s="148"/>
    </row>
    <row r="595">
      <c r="B595" s="148"/>
    </row>
    <row r="596">
      <c r="B596" s="148"/>
    </row>
    <row r="597">
      <c r="B597" s="148"/>
    </row>
    <row r="598">
      <c r="B598" s="148"/>
    </row>
    <row r="599">
      <c r="B599" s="148"/>
    </row>
    <row r="600">
      <c r="B600" s="148"/>
    </row>
    <row r="601">
      <c r="B601" s="148"/>
    </row>
    <row r="602">
      <c r="B602" s="148"/>
    </row>
    <row r="603">
      <c r="B603" s="148"/>
    </row>
    <row r="604">
      <c r="B604" s="148"/>
    </row>
    <row r="605">
      <c r="B605" s="148"/>
    </row>
    <row r="606">
      <c r="B606" s="148"/>
    </row>
    <row r="607">
      <c r="B607" s="148"/>
    </row>
    <row r="608">
      <c r="B608" s="148"/>
    </row>
    <row r="609">
      <c r="B609" s="148"/>
    </row>
    <row r="610">
      <c r="B610" s="148"/>
    </row>
    <row r="611">
      <c r="B611" s="148"/>
    </row>
    <row r="612">
      <c r="B612" s="148"/>
    </row>
    <row r="613">
      <c r="B613" s="148"/>
    </row>
    <row r="614">
      <c r="B614" s="148"/>
    </row>
    <row r="615">
      <c r="B615" s="148"/>
    </row>
    <row r="616">
      <c r="B616" s="148"/>
    </row>
    <row r="617">
      <c r="B617" s="148"/>
    </row>
    <row r="618">
      <c r="B618" s="148"/>
    </row>
    <row r="619">
      <c r="B619" s="148"/>
    </row>
    <row r="620">
      <c r="B620" s="148"/>
    </row>
    <row r="621">
      <c r="B621" s="148"/>
    </row>
    <row r="622">
      <c r="B622" s="148"/>
    </row>
    <row r="623">
      <c r="B623" s="148"/>
    </row>
    <row r="624">
      <c r="B624" s="148"/>
    </row>
    <row r="625">
      <c r="B625" s="148"/>
    </row>
    <row r="626">
      <c r="B626" s="148"/>
    </row>
    <row r="627">
      <c r="B627" s="148"/>
    </row>
    <row r="628">
      <c r="B628" s="148"/>
    </row>
    <row r="629">
      <c r="B629" s="148"/>
    </row>
    <row r="630">
      <c r="B630" s="148"/>
    </row>
    <row r="631">
      <c r="B631" s="148"/>
    </row>
    <row r="632">
      <c r="B632" s="148"/>
    </row>
    <row r="633">
      <c r="B633" s="148"/>
    </row>
    <row r="634">
      <c r="B634" s="148"/>
    </row>
    <row r="635">
      <c r="B635" s="148"/>
    </row>
    <row r="636">
      <c r="B636" s="148"/>
    </row>
    <row r="637">
      <c r="B637" s="148"/>
    </row>
    <row r="638">
      <c r="B638" s="148"/>
    </row>
    <row r="639">
      <c r="B639" s="148"/>
    </row>
    <row r="640">
      <c r="B640" s="148"/>
    </row>
    <row r="641">
      <c r="B641" s="148"/>
    </row>
    <row r="642">
      <c r="B642" s="148"/>
    </row>
    <row r="643">
      <c r="B643" s="148"/>
    </row>
    <row r="644">
      <c r="B644" s="148"/>
    </row>
    <row r="645">
      <c r="B645" s="148"/>
    </row>
    <row r="646">
      <c r="B646" s="148"/>
    </row>
    <row r="647">
      <c r="B647" s="148"/>
    </row>
    <row r="648">
      <c r="B648" s="148"/>
    </row>
    <row r="649">
      <c r="B649" s="148"/>
    </row>
    <row r="650">
      <c r="B650" s="148"/>
    </row>
    <row r="651">
      <c r="B651" s="148"/>
    </row>
    <row r="652">
      <c r="B652" s="148"/>
    </row>
    <row r="653">
      <c r="B653" s="148"/>
    </row>
    <row r="654">
      <c r="B654" s="148"/>
    </row>
    <row r="655">
      <c r="B655" s="148"/>
    </row>
    <row r="656">
      <c r="B656" s="148"/>
    </row>
    <row r="657">
      <c r="B657" s="148"/>
    </row>
    <row r="658">
      <c r="B658" s="148"/>
    </row>
    <row r="659">
      <c r="B659" s="148"/>
    </row>
    <row r="660">
      <c r="B660" s="148"/>
    </row>
    <row r="661">
      <c r="B661" s="148"/>
    </row>
    <row r="662">
      <c r="B662" s="148"/>
    </row>
    <row r="663">
      <c r="B663" s="148"/>
    </row>
    <row r="664">
      <c r="B664" s="148"/>
    </row>
    <row r="665">
      <c r="B665" s="148"/>
    </row>
    <row r="666">
      <c r="B666" s="148"/>
    </row>
    <row r="667">
      <c r="B667" s="148"/>
    </row>
    <row r="668">
      <c r="B668" s="148"/>
    </row>
    <row r="669">
      <c r="B669" s="148"/>
    </row>
    <row r="670">
      <c r="B670" s="148"/>
    </row>
    <row r="671">
      <c r="B671" s="148"/>
    </row>
    <row r="672">
      <c r="B672" s="148"/>
    </row>
    <row r="673">
      <c r="B673" s="148"/>
    </row>
    <row r="674">
      <c r="B674" s="148"/>
    </row>
    <row r="675">
      <c r="B675" s="148"/>
    </row>
    <row r="676">
      <c r="B676" s="148"/>
    </row>
    <row r="677">
      <c r="B677" s="148"/>
    </row>
    <row r="678">
      <c r="B678" s="148"/>
    </row>
    <row r="679">
      <c r="B679" s="148"/>
    </row>
    <row r="680">
      <c r="B680" s="148"/>
    </row>
    <row r="681">
      <c r="B681" s="148"/>
    </row>
    <row r="682">
      <c r="B682" s="148"/>
    </row>
    <row r="683">
      <c r="B683" s="148"/>
    </row>
    <row r="684">
      <c r="B684" s="148"/>
    </row>
    <row r="685">
      <c r="B685" s="148"/>
    </row>
    <row r="686">
      <c r="B686" s="148"/>
    </row>
    <row r="687">
      <c r="B687" s="148"/>
    </row>
    <row r="688">
      <c r="B688" s="148"/>
    </row>
    <row r="689">
      <c r="B689" s="148"/>
    </row>
    <row r="690">
      <c r="B690" s="148"/>
    </row>
    <row r="691">
      <c r="B691" s="148"/>
    </row>
    <row r="692">
      <c r="B692" s="148"/>
    </row>
    <row r="693">
      <c r="B693" s="148"/>
    </row>
    <row r="694">
      <c r="B694" s="148"/>
    </row>
    <row r="695">
      <c r="B695" s="148"/>
    </row>
    <row r="696">
      <c r="B696" s="148"/>
    </row>
    <row r="697">
      <c r="B697" s="148"/>
    </row>
    <row r="698">
      <c r="B698" s="148"/>
    </row>
    <row r="699">
      <c r="B699" s="148"/>
    </row>
    <row r="700">
      <c r="B700" s="148"/>
    </row>
    <row r="701">
      <c r="B701" s="148"/>
    </row>
    <row r="702">
      <c r="B702" s="148"/>
    </row>
    <row r="703">
      <c r="B703" s="148"/>
    </row>
    <row r="704">
      <c r="B704" s="148"/>
    </row>
    <row r="705">
      <c r="B705" s="148"/>
    </row>
    <row r="706">
      <c r="B706" s="148"/>
    </row>
    <row r="707">
      <c r="B707" s="148"/>
    </row>
    <row r="708">
      <c r="B708" s="148"/>
    </row>
    <row r="709">
      <c r="B709" s="148"/>
    </row>
    <row r="710">
      <c r="B710" s="148"/>
    </row>
    <row r="711">
      <c r="B711" s="148"/>
    </row>
    <row r="712">
      <c r="B712" s="148"/>
    </row>
    <row r="713">
      <c r="B713" s="148"/>
    </row>
    <row r="714">
      <c r="B714" s="148"/>
    </row>
    <row r="715">
      <c r="B715" s="148"/>
    </row>
    <row r="716">
      <c r="B716" s="148"/>
    </row>
    <row r="717">
      <c r="B717" s="148"/>
    </row>
    <row r="718">
      <c r="B718" s="148"/>
    </row>
    <row r="719">
      <c r="B719" s="148"/>
    </row>
    <row r="720">
      <c r="B720" s="148"/>
    </row>
    <row r="721">
      <c r="B721" s="148"/>
    </row>
    <row r="722">
      <c r="B722" s="148"/>
    </row>
    <row r="723">
      <c r="B723" s="148"/>
    </row>
    <row r="724">
      <c r="B724" s="148"/>
    </row>
    <row r="725">
      <c r="B725" s="148"/>
    </row>
    <row r="726">
      <c r="B726" s="148"/>
    </row>
    <row r="727">
      <c r="B727" s="148"/>
    </row>
    <row r="728">
      <c r="B728" s="148"/>
    </row>
    <row r="729">
      <c r="B729" s="148"/>
    </row>
    <row r="730">
      <c r="B730" s="148"/>
    </row>
    <row r="731">
      <c r="B731" s="148"/>
    </row>
    <row r="732">
      <c r="B732" s="148"/>
    </row>
    <row r="733">
      <c r="B733" s="148"/>
    </row>
    <row r="734">
      <c r="B734" s="148"/>
    </row>
    <row r="735">
      <c r="B735" s="148"/>
    </row>
    <row r="736">
      <c r="B736" s="148"/>
    </row>
    <row r="737">
      <c r="B737" s="148"/>
    </row>
    <row r="738">
      <c r="B738" s="148"/>
    </row>
    <row r="739">
      <c r="B739" s="148"/>
    </row>
    <row r="740">
      <c r="B740" s="148"/>
    </row>
    <row r="741">
      <c r="B741" s="148"/>
    </row>
    <row r="742">
      <c r="B742" s="148"/>
    </row>
    <row r="743">
      <c r="B743" s="148"/>
    </row>
    <row r="744">
      <c r="B744" s="148"/>
    </row>
    <row r="745">
      <c r="B745" s="148"/>
    </row>
    <row r="746">
      <c r="B746" s="148"/>
    </row>
    <row r="747">
      <c r="B747" s="148"/>
    </row>
    <row r="748">
      <c r="B748" s="148"/>
    </row>
    <row r="749">
      <c r="B749" s="148"/>
    </row>
    <row r="750">
      <c r="B750" s="148"/>
    </row>
    <row r="751">
      <c r="B751" s="148"/>
    </row>
    <row r="752">
      <c r="B752" s="148"/>
    </row>
    <row r="753">
      <c r="B753" s="148"/>
    </row>
    <row r="754">
      <c r="B754" s="148"/>
    </row>
    <row r="755">
      <c r="B755" s="148"/>
    </row>
    <row r="756">
      <c r="B756" s="148"/>
    </row>
    <row r="757">
      <c r="B757" s="148"/>
    </row>
    <row r="758">
      <c r="B758" s="148"/>
    </row>
    <row r="759">
      <c r="B759" s="148"/>
    </row>
    <row r="760">
      <c r="B760" s="148"/>
    </row>
    <row r="761">
      <c r="B761" s="148"/>
    </row>
    <row r="762">
      <c r="B762" s="148"/>
    </row>
    <row r="763">
      <c r="B763" s="148"/>
    </row>
    <row r="764">
      <c r="B764" s="148"/>
    </row>
    <row r="765">
      <c r="B765" s="148"/>
    </row>
    <row r="766">
      <c r="B766" s="148"/>
    </row>
    <row r="767">
      <c r="B767" s="148"/>
    </row>
    <row r="768">
      <c r="B768" s="148"/>
    </row>
    <row r="769">
      <c r="B769" s="148"/>
    </row>
    <row r="770">
      <c r="B770" s="148"/>
    </row>
    <row r="771">
      <c r="B771" s="148"/>
    </row>
    <row r="772">
      <c r="B772" s="148"/>
    </row>
    <row r="773">
      <c r="B773" s="148"/>
    </row>
    <row r="774">
      <c r="B774" s="148"/>
    </row>
    <row r="775">
      <c r="B775" s="148"/>
    </row>
    <row r="776">
      <c r="B776" s="148"/>
    </row>
    <row r="777">
      <c r="B777" s="148"/>
    </row>
    <row r="778">
      <c r="B778" s="148"/>
    </row>
    <row r="779">
      <c r="B779" s="148"/>
    </row>
    <row r="780">
      <c r="B780" s="148"/>
    </row>
    <row r="781">
      <c r="B781" s="148"/>
    </row>
    <row r="782">
      <c r="B782" s="148"/>
    </row>
    <row r="783">
      <c r="B783" s="148"/>
    </row>
    <row r="784">
      <c r="B784" s="148"/>
    </row>
    <row r="785">
      <c r="B785" s="148"/>
    </row>
    <row r="786">
      <c r="B786" s="148"/>
    </row>
    <row r="787">
      <c r="B787" s="148"/>
    </row>
    <row r="788">
      <c r="B788" s="148"/>
    </row>
    <row r="789">
      <c r="B789" s="148"/>
    </row>
    <row r="790">
      <c r="B790" s="148"/>
    </row>
    <row r="791">
      <c r="B791" s="148"/>
    </row>
    <row r="792">
      <c r="B792" s="148"/>
    </row>
    <row r="793">
      <c r="B793" s="148"/>
    </row>
    <row r="794">
      <c r="B794" s="148"/>
    </row>
    <row r="795">
      <c r="B795" s="148"/>
    </row>
    <row r="796">
      <c r="B796" s="148"/>
    </row>
    <row r="797">
      <c r="B797" s="148"/>
    </row>
    <row r="798">
      <c r="B798" s="148"/>
    </row>
    <row r="799">
      <c r="B799" s="148"/>
    </row>
    <row r="800">
      <c r="B800" s="148"/>
    </row>
    <row r="801">
      <c r="B801" s="148"/>
    </row>
    <row r="802">
      <c r="B802" s="148"/>
    </row>
    <row r="803">
      <c r="B803" s="148"/>
    </row>
    <row r="804">
      <c r="B804" s="148"/>
    </row>
    <row r="805">
      <c r="B805" s="148"/>
    </row>
    <row r="806">
      <c r="B806" s="148"/>
    </row>
    <row r="807">
      <c r="B807" s="148"/>
    </row>
    <row r="808">
      <c r="B808" s="148"/>
    </row>
    <row r="809">
      <c r="B809" s="148"/>
    </row>
    <row r="810">
      <c r="B810" s="148"/>
    </row>
    <row r="811">
      <c r="B811" s="148"/>
    </row>
    <row r="812">
      <c r="B812" s="148"/>
    </row>
    <row r="813">
      <c r="B813" s="148"/>
    </row>
    <row r="814">
      <c r="B814" s="148"/>
    </row>
    <row r="815">
      <c r="B815" s="148"/>
    </row>
    <row r="816">
      <c r="B816" s="148"/>
    </row>
    <row r="817">
      <c r="B817" s="148"/>
    </row>
    <row r="818">
      <c r="B818" s="148"/>
    </row>
    <row r="819">
      <c r="B819" s="148"/>
    </row>
    <row r="820">
      <c r="B820" s="148"/>
    </row>
    <row r="821">
      <c r="B821" s="148"/>
    </row>
    <row r="822">
      <c r="B822" s="148"/>
    </row>
    <row r="823">
      <c r="B823" s="148"/>
    </row>
    <row r="824">
      <c r="B824" s="148"/>
    </row>
    <row r="825">
      <c r="B825" s="148"/>
    </row>
    <row r="826">
      <c r="B826" s="148"/>
    </row>
    <row r="827">
      <c r="B827" s="148"/>
    </row>
    <row r="828">
      <c r="B828" s="148"/>
    </row>
    <row r="829">
      <c r="B829" s="148"/>
    </row>
    <row r="830">
      <c r="B830" s="148"/>
    </row>
    <row r="831">
      <c r="B831" s="148"/>
    </row>
    <row r="832">
      <c r="B832" s="148"/>
    </row>
    <row r="833">
      <c r="B833" s="148"/>
    </row>
    <row r="834">
      <c r="B834" s="148"/>
    </row>
    <row r="835">
      <c r="B835" s="148"/>
    </row>
    <row r="836">
      <c r="B836" s="148"/>
    </row>
    <row r="837">
      <c r="B837" s="148"/>
    </row>
    <row r="838">
      <c r="B838" s="148"/>
    </row>
    <row r="839">
      <c r="B839" s="148"/>
    </row>
    <row r="840">
      <c r="B840" s="148"/>
    </row>
    <row r="841">
      <c r="B841" s="148"/>
    </row>
    <row r="842">
      <c r="B842" s="148"/>
    </row>
    <row r="843">
      <c r="B843" s="148"/>
    </row>
    <row r="844">
      <c r="B844" s="148"/>
    </row>
    <row r="845">
      <c r="B845" s="148"/>
    </row>
    <row r="846">
      <c r="B846" s="148"/>
    </row>
    <row r="847">
      <c r="B847" s="148"/>
    </row>
    <row r="848">
      <c r="B848" s="148"/>
    </row>
    <row r="849">
      <c r="B849" s="148"/>
    </row>
    <row r="850">
      <c r="B850" s="148"/>
    </row>
    <row r="851">
      <c r="B851" s="148"/>
    </row>
    <row r="852">
      <c r="B852" s="148"/>
    </row>
    <row r="853">
      <c r="B853" s="148"/>
    </row>
    <row r="854">
      <c r="B854" s="148"/>
    </row>
    <row r="855">
      <c r="B855" s="148"/>
    </row>
    <row r="856">
      <c r="B856" s="148"/>
    </row>
    <row r="857">
      <c r="B857" s="148"/>
    </row>
    <row r="858">
      <c r="B858" s="148"/>
    </row>
    <row r="859">
      <c r="B859" s="148"/>
    </row>
    <row r="860">
      <c r="B860" s="148"/>
    </row>
    <row r="861">
      <c r="B861" s="148"/>
    </row>
    <row r="862">
      <c r="B862" s="148"/>
    </row>
    <row r="863">
      <c r="B863" s="148"/>
    </row>
    <row r="864">
      <c r="B864" s="148"/>
    </row>
    <row r="865">
      <c r="B865" s="148"/>
    </row>
    <row r="866">
      <c r="B866" s="148"/>
    </row>
    <row r="867">
      <c r="B867" s="148"/>
    </row>
    <row r="868">
      <c r="B868" s="148"/>
    </row>
    <row r="869">
      <c r="B869" s="148"/>
    </row>
    <row r="870">
      <c r="B870" s="148"/>
    </row>
    <row r="871">
      <c r="B871" s="148"/>
    </row>
    <row r="872">
      <c r="B872" s="148"/>
    </row>
    <row r="873">
      <c r="B873" s="148"/>
    </row>
    <row r="874">
      <c r="B874" s="148"/>
    </row>
    <row r="875">
      <c r="B875" s="148"/>
    </row>
    <row r="876">
      <c r="B876" s="148"/>
    </row>
    <row r="877">
      <c r="B877" s="148"/>
    </row>
    <row r="878">
      <c r="B878" s="148"/>
    </row>
    <row r="879">
      <c r="B879" s="148"/>
    </row>
    <row r="880">
      <c r="B880" s="148"/>
    </row>
    <row r="881">
      <c r="B881" s="148"/>
    </row>
    <row r="882">
      <c r="B882" s="148"/>
    </row>
    <row r="883">
      <c r="B883" s="148"/>
    </row>
    <row r="884">
      <c r="B884" s="148"/>
    </row>
    <row r="885">
      <c r="B885" s="148"/>
    </row>
    <row r="886">
      <c r="B886" s="148"/>
    </row>
    <row r="887">
      <c r="B887" s="148"/>
    </row>
    <row r="888">
      <c r="B888" s="148"/>
    </row>
    <row r="889">
      <c r="B889" s="148"/>
    </row>
    <row r="890">
      <c r="B890" s="148"/>
    </row>
    <row r="891">
      <c r="B891" s="148"/>
    </row>
    <row r="892">
      <c r="B892" s="148"/>
    </row>
    <row r="893">
      <c r="B893" s="148"/>
    </row>
    <row r="894">
      <c r="B894" s="148"/>
    </row>
    <row r="895">
      <c r="B895" s="148"/>
    </row>
    <row r="896">
      <c r="B896" s="148"/>
    </row>
    <row r="897">
      <c r="B897" s="148"/>
    </row>
    <row r="898">
      <c r="B898" s="148"/>
    </row>
    <row r="899">
      <c r="B899" s="148"/>
    </row>
    <row r="900">
      <c r="B900" s="148"/>
    </row>
    <row r="901">
      <c r="B901" s="148"/>
    </row>
    <row r="902">
      <c r="B902" s="148"/>
    </row>
    <row r="903">
      <c r="B903" s="148"/>
    </row>
    <row r="904">
      <c r="B904" s="148"/>
    </row>
    <row r="905">
      <c r="B905" s="148"/>
    </row>
    <row r="906">
      <c r="B906" s="148"/>
    </row>
    <row r="907">
      <c r="B907" s="148"/>
    </row>
    <row r="908">
      <c r="B908" s="148"/>
    </row>
    <row r="909">
      <c r="B909" s="148"/>
    </row>
    <row r="910">
      <c r="B910" s="148"/>
    </row>
    <row r="911">
      <c r="B911" s="148"/>
    </row>
    <row r="912">
      <c r="B912" s="148"/>
    </row>
    <row r="913">
      <c r="B913" s="148"/>
    </row>
    <row r="914">
      <c r="B914" s="148"/>
    </row>
    <row r="915">
      <c r="B915" s="148"/>
    </row>
    <row r="916">
      <c r="B916" s="148"/>
    </row>
    <row r="917">
      <c r="B917" s="148"/>
    </row>
    <row r="918">
      <c r="B918" s="148"/>
    </row>
    <row r="919">
      <c r="B919" s="148"/>
    </row>
    <row r="920">
      <c r="B920" s="148"/>
    </row>
    <row r="921">
      <c r="B921" s="148"/>
    </row>
    <row r="922">
      <c r="B922" s="148"/>
    </row>
    <row r="923">
      <c r="B923" s="148"/>
    </row>
    <row r="924">
      <c r="B924" s="148"/>
    </row>
    <row r="925">
      <c r="B925" s="148"/>
    </row>
    <row r="926">
      <c r="B926" s="148"/>
    </row>
    <row r="927">
      <c r="B927" s="148"/>
    </row>
    <row r="928">
      <c r="B928" s="148"/>
    </row>
    <row r="929">
      <c r="B929" s="148"/>
    </row>
    <row r="930">
      <c r="B930" s="148"/>
    </row>
    <row r="931">
      <c r="B931" s="148"/>
    </row>
    <row r="932">
      <c r="B932" s="148"/>
    </row>
    <row r="933">
      <c r="B933" s="148"/>
    </row>
    <row r="934">
      <c r="B934" s="148"/>
    </row>
    <row r="935">
      <c r="B935" s="148"/>
    </row>
    <row r="936">
      <c r="B936" s="148"/>
    </row>
    <row r="937">
      <c r="B937" s="148"/>
    </row>
    <row r="938">
      <c r="B938" s="148"/>
    </row>
    <row r="939">
      <c r="B939" s="148"/>
    </row>
    <row r="940">
      <c r="B940" s="148"/>
    </row>
    <row r="941">
      <c r="B941" s="148"/>
    </row>
    <row r="942">
      <c r="B942" s="148"/>
    </row>
    <row r="943">
      <c r="B943" s="148"/>
    </row>
    <row r="944">
      <c r="B944" s="148"/>
    </row>
    <row r="945">
      <c r="B945" s="148"/>
    </row>
    <row r="946">
      <c r="B946" s="148"/>
    </row>
    <row r="947">
      <c r="B947" s="148"/>
    </row>
    <row r="948">
      <c r="B948" s="148"/>
    </row>
    <row r="949">
      <c r="B949" s="148"/>
    </row>
    <row r="950">
      <c r="B950" s="148"/>
    </row>
    <row r="951">
      <c r="B951" s="148"/>
    </row>
    <row r="952">
      <c r="B952" s="148"/>
    </row>
    <row r="953">
      <c r="B953" s="148"/>
    </row>
    <row r="954">
      <c r="B954" s="148"/>
    </row>
    <row r="955">
      <c r="B955" s="148"/>
    </row>
    <row r="956">
      <c r="B956" s="148"/>
    </row>
    <row r="957">
      <c r="B957" s="148"/>
    </row>
    <row r="958">
      <c r="B958" s="148"/>
    </row>
    <row r="959">
      <c r="B959" s="148"/>
    </row>
    <row r="960">
      <c r="B960" s="148"/>
    </row>
    <row r="961">
      <c r="B961" s="148"/>
    </row>
    <row r="962">
      <c r="B962" s="148"/>
    </row>
    <row r="963">
      <c r="B963" s="148"/>
    </row>
    <row r="964">
      <c r="B964" s="148"/>
    </row>
    <row r="965">
      <c r="B965" s="148"/>
    </row>
    <row r="966">
      <c r="B966" s="148"/>
    </row>
    <row r="967">
      <c r="B967" s="148"/>
    </row>
    <row r="968">
      <c r="B968" s="148"/>
    </row>
    <row r="969">
      <c r="B969" s="148"/>
    </row>
    <row r="970">
      <c r="B970" s="148"/>
    </row>
    <row r="971">
      <c r="B971" s="148"/>
    </row>
    <row r="972">
      <c r="B972" s="148"/>
    </row>
    <row r="973">
      <c r="B973" s="148"/>
    </row>
    <row r="974">
      <c r="B974" s="148"/>
    </row>
    <row r="975">
      <c r="B975" s="148"/>
    </row>
    <row r="976">
      <c r="B976" s="148"/>
    </row>
    <row r="977">
      <c r="B977" s="148"/>
    </row>
    <row r="978">
      <c r="B978" s="148"/>
    </row>
    <row r="979">
      <c r="B979" s="148"/>
    </row>
    <row r="980">
      <c r="B980" s="148"/>
    </row>
    <row r="981">
      <c r="B981" s="148"/>
    </row>
    <row r="982">
      <c r="B982" s="148"/>
    </row>
    <row r="983">
      <c r="B983" s="148"/>
    </row>
    <row r="984">
      <c r="B984" s="148"/>
    </row>
    <row r="985">
      <c r="B985" s="148"/>
    </row>
    <row r="986">
      <c r="B986" s="148"/>
    </row>
    <row r="987">
      <c r="B987" s="148"/>
    </row>
    <row r="988">
      <c r="B988" s="148"/>
    </row>
    <row r="989">
      <c r="B989" s="148"/>
    </row>
    <row r="990">
      <c r="B990" s="148"/>
    </row>
    <row r="991">
      <c r="B991" s="148"/>
    </row>
    <row r="992">
      <c r="B992" s="148"/>
    </row>
    <row r="993">
      <c r="B993" s="148"/>
    </row>
    <row r="994">
      <c r="B994" s="148"/>
    </row>
    <row r="995">
      <c r="B995" s="148"/>
    </row>
    <row r="996">
      <c r="B996" s="148"/>
    </row>
    <row r="997">
      <c r="B997" s="148"/>
    </row>
    <row r="998">
      <c r="B998" s="148"/>
    </row>
    <row r="999">
      <c r="B999" s="148"/>
    </row>
    <row r="1000">
      <c r="B1000" s="14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43"/>
  </cols>
  <sheetData>
    <row r="1">
      <c r="A1" s="121" t="s">
        <v>7</v>
      </c>
      <c r="B1" s="123" t="s">
        <v>9</v>
      </c>
      <c r="C1" s="123" t="s">
        <v>10</v>
      </c>
      <c r="D1" s="123" t="s">
        <v>11</v>
      </c>
      <c r="E1" s="123" t="s">
        <v>12</v>
      </c>
      <c r="F1" s="123" t="s">
        <v>13</v>
      </c>
    </row>
    <row r="2">
      <c r="A2" s="124" t="s">
        <v>14</v>
      </c>
      <c r="B2" s="126" t="s">
        <v>16</v>
      </c>
      <c r="C2" s="126" t="s">
        <v>17</v>
      </c>
      <c r="D2" s="126" t="s">
        <v>18</v>
      </c>
      <c r="E2" s="126" t="s">
        <v>19</v>
      </c>
      <c r="F2" s="126" t="s">
        <v>20</v>
      </c>
    </row>
    <row r="3">
      <c r="A3" s="127" t="s">
        <v>21</v>
      </c>
      <c r="B3" s="129">
        <v>16538.97</v>
      </c>
      <c r="C3" s="129">
        <v>27805.75</v>
      </c>
      <c r="D3" s="129">
        <v>36465.27</v>
      </c>
      <c r="E3" s="129">
        <v>68822.86</v>
      </c>
      <c r="F3" s="129">
        <v>72253.01</v>
      </c>
    </row>
    <row r="4">
      <c r="A4" s="130" t="s">
        <v>22</v>
      </c>
      <c r="B4" s="132">
        <v>16538.97</v>
      </c>
      <c r="C4" s="132">
        <v>27805.75</v>
      </c>
      <c r="D4" s="132">
        <v>36465.27</v>
      </c>
      <c r="E4" s="132">
        <v>68822.86</v>
      </c>
      <c r="F4" s="132">
        <v>72253.01</v>
      </c>
    </row>
    <row r="5">
      <c r="A5" s="127" t="s">
        <v>218</v>
      </c>
      <c r="B5" s="129" t="s">
        <v>26</v>
      </c>
      <c r="C5" s="129" t="s">
        <v>26</v>
      </c>
      <c r="D5" s="129" t="s">
        <v>26</v>
      </c>
      <c r="E5" s="129" t="s">
        <v>26</v>
      </c>
      <c r="F5" s="129" t="s">
        <v>26</v>
      </c>
    </row>
    <row r="6">
      <c r="A6" s="130" t="s">
        <v>24</v>
      </c>
      <c r="B6" s="132">
        <v>34423.65</v>
      </c>
      <c r="C6" s="132">
        <v>32082.13</v>
      </c>
      <c r="D6" s="132">
        <v>41240.77</v>
      </c>
      <c r="E6" s="132">
        <v>79847.18</v>
      </c>
      <c r="F6" s="132">
        <v>85220.35</v>
      </c>
    </row>
    <row r="7">
      <c r="A7" s="130" t="s">
        <v>29</v>
      </c>
      <c r="B7" s="132">
        <v>1700.05</v>
      </c>
      <c r="C7" s="132">
        <v>2555.91</v>
      </c>
      <c r="D7" s="132">
        <v>3546.2</v>
      </c>
      <c r="E7" s="132">
        <v>6107.47</v>
      </c>
      <c r="F7" s="132">
        <v>8311.44</v>
      </c>
    </row>
    <row r="8">
      <c r="A8" s="130" t="s">
        <v>31</v>
      </c>
      <c r="B8" s="132">
        <v>32723.6</v>
      </c>
      <c r="C8" s="132">
        <v>29526.22</v>
      </c>
      <c r="D8" s="132">
        <v>37694.57</v>
      </c>
      <c r="E8" s="132">
        <v>73739.71</v>
      </c>
      <c r="F8" s="132">
        <v>76908.91</v>
      </c>
    </row>
    <row r="9">
      <c r="A9" s="127" t="s">
        <v>32</v>
      </c>
      <c r="B9" s="129">
        <v>-17884.68</v>
      </c>
      <c r="C9" s="129">
        <v>-4276.38</v>
      </c>
      <c r="D9" s="129">
        <v>-4775.5</v>
      </c>
      <c r="E9" s="129">
        <v>-11024.32</v>
      </c>
      <c r="F9" s="129">
        <v>-12967.34</v>
      </c>
    </row>
    <row r="10">
      <c r="A10" s="130" t="s">
        <v>33</v>
      </c>
      <c r="B10" s="132">
        <v>-51.64</v>
      </c>
      <c r="C10" s="132">
        <v>-1588.36</v>
      </c>
      <c r="D10" s="132">
        <v>-618.07</v>
      </c>
      <c r="E10" s="132">
        <v>-533.85</v>
      </c>
      <c r="F10" s="132">
        <v>-2296.92</v>
      </c>
    </row>
    <row r="11">
      <c r="A11" s="130" t="s">
        <v>34</v>
      </c>
      <c r="B11" s="132" t="s">
        <v>26</v>
      </c>
      <c r="C11" s="132">
        <v>492.18</v>
      </c>
      <c r="D11" s="132">
        <v>886.27</v>
      </c>
      <c r="E11" s="132" t="s">
        <v>26</v>
      </c>
      <c r="F11" s="132" t="s">
        <v>26</v>
      </c>
    </row>
    <row r="12">
      <c r="A12" s="133" t="s">
        <v>35</v>
      </c>
      <c r="B12" s="135">
        <v>358.13</v>
      </c>
      <c r="C12" s="135">
        <v>492.18</v>
      </c>
      <c r="D12" s="135">
        <v>886.27</v>
      </c>
      <c r="E12" s="135" t="s">
        <v>26</v>
      </c>
      <c r="F12" s="135" t="s">
        <v>26</v>
      </c>
    </row>
    <row r="13">
      <c r="A13" s="133" t="s">
        <v>36</v>
      </c>
      <c r="B13" s="135" t="s">
        <v>26</v>
      </c>
      <c r="C13" s="135">
        <v>0.0</v>
      </c>
      <c r="D13" s="135">
        <v>0.0</v>
      </c>
      <c r="E13" s="135" t="s">
        <v>26</v>
      </c>
      <c r="F13" s="135" t="s">
        <v>26</v>
      </c>
    </row>
    <row r="14">
      <c r="A14" s="130" t="s">
        <v>38</v>
      </c>
      <c r="B14" s="132">
        <v>0.0</v>
      </c>
      <c r="C14" s="132">
        <v>0.0</v>
      </c>
      <c r="D14" s="132">
        <v>0.0</v>
      </c>
      <c r="E14" s="132">
        <v>0.0</v>
      </c>
      <c r="F14" s="132">
        <v>0.0</v>
      </c>
    </row>
    <row r="15">
      <c r="A15" s="130" t="s">
        <v>39</v>
      </c>
      <c r="B15" s="132" t="s">
        <v>26</v>
      </c>
      <c r="C15" s="132" t="s">
        <v>26</v>
      </c>
      <c r="D15" s="132" t="s">
        <v>26</v>
      </c>
      <c r="E15" s="132">
        <v>32.27</v>
      </c>
      <c r="F15" s="132">
        <v>-135.74</v>
      </c>
    </row>
    <row r="16">
      <c r="A16" s="130" t="s">
        <v>40</v>
      </c>
      <c r="B16" s="132">
        <v>-409.77</v>
      </c>
      <c r="C16" s="132">
        <v>-2080.54</v>
      </c>
      <c r="D16" s="132">
        <v>-1504.34</v>
      </c>
      <c r="E16" s="132">
        <v>-566.12</v>
      </c>
      <c r="F16" s="132">
        <v>-2161.18</v>
      </c>
    </row>
    <row r="17">
      <c r="A17" s="127" t="s">
        <v>41</v>
      </c>
      <c r="B17" s="129">
        <v>-17833.04</v>
      </c>
      <c r="C17" s="129">
        <v>-2688.02</v>
      </c>
      <c r="D17" s="129">
        <v>-4157.43</v>
      </c>
      <c r="E17" s="129">
        <v>-10490.47</v>
      </c>
      <c r="F17" s="129">
        <v>-10670.42</v>
      </c>
    </row>
    <row r="18">
      <c r="A18" s="130" t="s">
        <v>42</v>
      </c>
      <c r="B18" s="132">
        <v>0.0</v>
      </c>
      <c r="C18" s="132">
        <v>0.0</v>
      </c>
      <c r="D18" s="132">
        <v>0.0</v>
      </c>
      <c r="E18" s="132">
        <v>-197.17</v>
      </c>
      <c r="F18" s="132">
        <v>-139.82</v>
      </c>
    </row>
    <row r="19">
      <c r="A19" s="130" t="s">
        <v>43</v>
      </c>
      <c r="B19" s="132" t="s">
        <v>26</v>
      </c>
      <c r="C19" s="132" t="s">
        <v>26</v>
      </c>
      <c r="D19" s="132" t="s">
        <v>26</v>
      </c>
      <c r="E19" s="132">
        <v>-0.08</v>
      </c>
      <c r="F19" s="132" t="s">
        <v>26</v>
      </c>
    </row>
    <row r="20">
      <c r="A20" s="130" t="s">
        <v>47</v>
      </c>
      <c r="B20" s="132" t="s">
        <v>26</v>
      </c>
      <c r="C20" s="132" t="s">
        <v>26</v>
      </c>
      <c r="D20" s="132" t="s">
        <v>26</v>
      </c>
      <c r="E20" s="132">
        <v>-197.09</v>
      </c>
      <c r="F20" s="132">
        <v>-139.82</v>
      </c>
    </row>
    <row r="21">
      <c r="A21" s="127" t="s">
        <v>50</v>
      </c>
      <c r="B21" s="129">
        <v>-17833.04</v>
      </c>
      <c r="C21" s="129">
        <v>-2688.02</v>
      </c>
      <c r="D21" s="129">
        <v>-4157.43</v>
      </c>
      <c r="E21" s="129">
        <v>-10293.3</v>
      </c>
      <c r="F21" s="129">
        <v>-10530.6</v>
      </c>
    </row>
    <row r="22">
      <c r="A22" s="130" t="s">
        <v>51</v>
      </c>
      <c r="B22" s="132">
        <v>0.0</v>
      </c>
      <c r="C22" s="132">
        <v>1.24</v>
      </c>
      <c r="D22" s="132">
        <v>0.0</v>
      </c>
      <c r="E22" s="132">
        <v>-183.3</v>
      </c>
      <c r="F22" s="132">
        <v>-452.81</v>
      </c>
    </row>
    <row r="23">
      <c r="A23" s="130" t="s">
        <v>52</v>
      </c>
      <c r="B23" s="132">
        <v>0.0</v>
      </c>
      <c r="C23" s="132">
        <v>1.24</v>
      </c>
      <c r="D23" s="132">
        <v>0.0</v>
      </c>
      <c r="E23" s="132">
        <v>100.72</v>
      </c>
      <c r="F23" s="132">
        <v>107.38</v>
      </c>
    </row>
    <row r="24">
      <c r="A24" s="130" t="s">
        <v>53</v>
      </c>
      <c r="B24" s="132">
        <v>0.0</v>
      </c>
      <c r="C24" s="132">
        <v>0.0</v>
      </c>
      <c r="D24" s="132">
        <v>0.0</v>
      </c>
      <c r="E24" s="132">
        <v>-284.02</v>
      </c>
      <c r="F24" s="132">
        <v>-560.19</v>
      </c>
    </row>
    <row r="25">
      <c r="A25" s="127" t="s">
        <v>56</v>
      </c>
      <c r="B25" s="129">
        <v>-17833.04</v>
      </c>
      <c r="C25" s="129">
        <v>-2689.26</v>
      </c>
      <c r="D25" s="129">
        <v>-4157.43</v>
      </c>
      <c r="E25" s="129">
        <v>-10110.0</v>
      </c>
      <c r="F25" s="129">
        <v>-10077.79</v>
      </c>
    </row>
    <row r="26">
      <c r="A26" s="130" t="s">
        <v>57</v>
      </c>
      <c r="B26" s="132">
        <v>0.0</v>
      </c>
      <c r="C26" s="132">
        <v>0.0</v>
      </c>
      <c r="D26" s="132">
        <v>0.0</v>
      </c>
      <c r="E26" s="132">
        <v>0.0</v>
      </c>
      <c r="F26" s="132">
        <v>0.0</v>
      </c>
    </row>
    <row r="27">
      <c r="A27" s="130" t="s">
        <v>58</v>
      </c>
      <c r="B27" s="132">
        <v>0.0</v>
      </c>
      <c r="C27" s="132">
        <v>0.0</v>
      </c>
      <c r="D27" s="132">
        <v>0.0</v>
      </c>
      <c r="E27" s="132">
        <v>0.0</v>
      </c>
      <c r="F27" s="132">
        <v>0.0</v>
      </c>
    </row>
    <row r="28">
      <c r="A28" s="130" t="s">
        <v>59</v>
      </c>
      <c r="B28" s="132">
        <v>0.0</v>
      </c>
      <c r="C28" s="132">
        <v>0.0</v>
      </c>
      <c r="D28" s="132">
        <v>0.0</v>
      </c>
      <c r="E28" s="132">
        <v>0.0</v>
      </c>
      <c r="F28" s="132">
        <v>0.0</v>
      </c>
    </row>
    <row r="29">
      <c r="A29" s="127" t="s">
        <v>60</v>
      </c>
      <c r="B29" s="129">
        <v>-17833.04</v>
      </c>
      <c r="C29" s="129">
        <v>-2689.26</v>
      </c>
      <c r="D29" s="129">
        <v>-4157.43</v>
      </c>
      <c r="E29" s="129">
        <v>-10110.0</v>
      </c>
      <c r="F29" s="129">
        <v>-10077.79</v>
      </c>
    </row>
    <row r="30">
      <c r="A30" s="127" t="s">
        <v>62</v>
      </c>
      <c r="B30" s="129">
        <v>-17833.04</v>
      </c>
      <c r="C30" s="129">
        <v>-2689.26</v>
      </c>
      <c r="D30" s="129">
        <v>-4157.43</v>
      </c>
      <c r="E30" s="129">
        <v>-10110.0</v>
      </c>
      <c r="F30" s="129">
        <v>-10077.79</v>
      </c>
    </row>
    <row r="31">
      <c r="A31" s="130" t="s">
        <v>63</v>
      </c>
      <c r="B31" s="132" t="s">
        <v>26</v>
      </c>
      <c r="C31" s="132" t="s">
        <v>26</v>
      </c>
      <c r="D31" s="132" t="s">
        <v>26</v>
      </c>
      <c r="E31" s="132">
        <v>0.0</v>
      </c>
      <c r="F31" s="132">
        <v>0.0</v>
      </c>
    </row>
    <row r="32">
      <c r="A32" s="130" t="s">
        <v>64</v>
      </c>
      <c r="B32" s="132" t="s">
        <v>26</v>
      </c>
      <c r="C32" s="132">
        <v>0.0</v>
      </c>
      <c r="D32" s="132">
        <v>0.0</v>
      </c>
      <c r="E32" s="132">
        <v>0.0</v>
      </c>
      <c r="F32" s="132">
        <v>0.0</v>
      </c>
    </row>
    <row r="33">
      <c r="A33" s="127" t="s">
        <v>65</v>
      </c>
      <c r="B33" s="129">
        <v>-17833.04</v>
      </c>
      <c r="C33" s="129">
        <v>-2689.26</v>
      </c>
      <c r="D33" s="129">
        <v>-4157.43</v>
      </c>
      <c r="E33" s="129">
        <v>-10110.0</v>
      </c>
      <c r="F33" s="129">
        <v>-10077.79</v>
      </c>
    </row>
    <row r="34">
      <c r="A34" s="136"/>
      <c r="B34" s="138"/>
      <c r="C34" s="138"/>
      <c r="D34" s="138"/>
      <c r="E34" s="138"/>
      <c r="F34" s="138"/>
    </row>
    <row r="35">
      <c r="A35" s="127" t="s">
        <v>66</v>
      </c>
      <c r="B35" s="129">
        <v>-17833.04</v>
      </c>
      <c r="C35" s="129">
        <v>-2689.26</v>
      </c>
      <c r="D35" s="129">
        <v>-4157.43</v>
      </c>
      <c r="E35" s="129">
        <v>-10248.019</v>
      </c>
      <c r="F35" s="129">
        <v>-10175.664</v>
      </c>
    </row>
    <row r="36">
      <c r="A36" s="130" t="s">
        <v>67</v>
      </c>
      <c r="B36" s="132">
        <v>0.0</v>
      </c>
      <c r="C36" s="132">
        <v>0.0</v>
      </c>
      <c r="D36" s="132">
        <v>0.0</v>
      </c>
      <c r="E36" s="132">
        <v>-138.019</v>
      </c>
      <c r="F36" s="132">
        <v>-97.874</v>
      </c>
    </row>
    <row r="37">
      <c r="A37" s="130" t="s">
        <v>68</v>
      </c>
      <c r="B37" s="132">
        <v>0.0</v>
      </c>
      <c r="C37" s="132">
        <v>0.0</v>
      </c>
      <c r="D37" s="132">
        <v>0.0</v>
      </c>
      <c r="E37" s="132">
        <v>0.0</v>
      </c>
      <c r="F37" s="132">
        <v>0.0</v>
      </c>
    </row>
    <row r="38">
      <c r="A38" s="136"/>
      <c r="B38" s="138"/>
      <c r="C38" s="138"/>
      <c r="D38" s="138"/>
      <c r="E38" s="138"/>
      <c r="F38" s="138"/>
    </row>
    <row r="39">
      <c r="A39" s="130" t="s">
        <v>69</v>
      </c>
      <c r="B39" s="132" t="s">
        <v>26</v>
      </c>
      <c r="C39" s="132" t="s">
        <v>26</v>
      </c>
      <c r="D39" s="132" t="s">
        <v>26</v>
      </c>
      <c r="E39" s="132">
        <v>642.11</v>
      </c>
      <c r="F39" s="132">
        <v>715.16</v>
      </c>
    </row>
    <row r="40">
      <c r="A40" s="127" t="s">
        <v>70</v>
      </c>
      <c r="B40" s="140" t="s">
        <v>26</v>
      </c>
      <c r="C40" s="140" t="s">
        <v>26</v>
      </c>
      <c r="D40" s="140">
        <v>-8.05</v>
      </c>
      <c r="E40" s="140">
        <v>-15.745</v>
      </c>
      <c r="F40" s="140">
        <v>-14.09</v>
      </c>
    </row>
    <row r="41">
      <c r="A41" s="127" t="s">
        <v>71</v>
      </c>
      <c r="B41" s="140" t="s">
        <v>26</v>
      </c>
      <c r="C41" s="140" t="s">
        <v>26</v>
      </c>
      <c r="D41" s="140">
        <v>-8.05</v>
      </c>
      <c r="E41" s="140">
        <v>-15.745</v>
      </c>
      <c r="F41" s="140">
        <v>-14.09</v>
      </c>
    </row>
    <row r="42">
      <c r="A42" s="127" t="s">
        <v>72</v>
      </c>
      <c r="B42" s="140" t="s">
        <v>26</v>
      </c>
      <c r="C42" s="140" t="s">
        <v>26</v>
      </c>
      <c r="D42" s="140">
        <v>-8.05</v>
      </c>
      <c r="E42" s="140">
        <v>-15.9599</v>
      </c>
      <c r="F42" s="140">
        <v>-14.2285</v>
      </c>
    </row>
    <row r="43">
      <c r="A43" s="136"/>
      <c r="B43" s="138"/>
      <c r="C43" s="138"/>
      <c r="D43" s="138"/>
      <c r="E43" s="138"/>
      <c r="F43" s="138"/>
    </row>
    <row r="44">
      <c r="A44" s="130" t="s">
        <v>73</v>
      </c>
      <c r="B44" s="132" t="s">
        <v>26</v>
      </c>
      <c r="C44" s="132" t="s">
        <v>26</v>
      </c>
      <c r="D44" s="132" t="s">
        <v>26</v>
      </c>
      <c r="E44" s="132">
        <v>642.11</v>
      </c>
      <c r="F44" s="132">
        <v>715.16</v>
      </c>
    </row>
    <row r="45">
      <c r="A45" s="127" t="s">
        <v>74</v>
      </c>
      <c r="B45" s="140" t="s">
        <v>26</v>
      </c>
      <c r="C45" s="140" t="s">
        <v>26</v>
      </c>
      <c r="D45" s="140">
        <v>-8.05</v>
      </c>
      <c r="E45" s="140">
        <v>-15.745</v>
      </c>
      <c r="F45" s="140">
        <v>-14.09</v>
      </c>
    </row>
    <row r="46">
      <c r="A46" s="127" t="s">
        <v>75</v>
      </c>
      <c r="B46" s="140" t="s">
        <v>26</v>
      </c>
      <c r="C46" s="140" t="s">
        <v>26</v>
      </c>
      <c r="D46" s="140">
        <v>-8.05</v>
      </c>
      <c r="E46" s="140">
        <v>-15.745</v>
      </c>
      <c r="F46" s="140">
        <v>-14.09</v>
      </c>
    </row>
    <row r="47">
      <c r="A47" s="127" t="s">
        <v>76</v>
      </c>
      <c r="B47" s="140" t="s">
        <v>26</v>
      </c>
      <c r="C47" s="140" t="s">
        <v>26</v>
      </c>
      <c r="D47" s="140">
        <v>-8.05</v>
      </c>
      <c r="E47" s="140">
        <v>-15.9599</v>
      </c>
      <c r="F47" s="140">
        <v>-14.2285</v>
      </c>
    </row>
    <row r="48">
      <c r="A48" s="136"/>
      <c r="B48" s="138"/>
      <c r="C48" s="138"/>
      <c r="D48" s="138"/>
      <c r="E48" s="138"/>
      <c r="F48" s="138"/>
    </row>
    <row r="49">
      <c r="A49" s="127" t="s">
        <v>219</v>
      </c>
      <c r="B49" s="138"/>
      <c r="C49" s="138"/>
      <c r="D49" s="138"/>
      <c r="E49" s="138"/>
      <c r="F49" s="138"/>
    </row>
    <row r="50">
      <c r="A50" s="130" t="s">
        <v>153</v>
      </c>
      <c r="B50" s="142" t="s">
        <v>154</v>
      </c>
      <c r="C50" s="142" t="s">
        <v>154</v>
      </c>
      <c r="D50" s="142" t="s">
        <v>154</v>
      </c>
      <c r="E50" s="142" t="s">
        <v>154</v>
      </c>
      <c r="F50" s="142" t="s">
        <v>154</v>
      </c>
    </row>
    <row r="51">
      <c r="A51" s="130" t="s">
        <v>155</v>
      </c>
      <c r="B51" s="132">
        <v>-16184.63</v>
      </c>
      <c r="C51" s="132">
        <v>-1720.51</v>
      </c>
      <c r="D51" s="132">
        <v>-1229.3</v>
      </c>
      <c r="E51" s="132">
        <v>-7349.97</v>
      </c>
      <c r="F51" s="132">
        <v>-4655.9</v>
      </c>
    </row>
    <row r="52">
      <c r="A52" s="130" t="s">
        <v>156</v>
      </c>
      <c r="B52" s="144">
        <v>-97.8575</v>
      </c>
      <c r="C52" s="144">
        <v>-6.1876</v>
      </c>
      <c r="D52" s="144">
        <v>-3.3712</v>
      </c>
      <c r="E52" s="144">
        <v>-10.6795</v>
      </c>
      <c r="F52" s="144">
        <v>-6.4439</v>
      </c>
    </row>
    <row r="53">
      <c r="A53" s="130" t="s">
        <v>157</v>
      </c>
      <c r="B53" s="132">
        <v>-17846.67</v>
      </c>
      <c r="C53" s="132">
        <v>-4192.62</v>
      </c>
      <c r="D53" s="132">
        <v>-4698.94</v>
      </c>
      <c r="E53" s="132">
        <v>-9687.17</v>
      </c>
      <c r="F53" s="132">
        <v>-10663.91</v>
      </c>
    </row>
    <row r="54">
      <c r="A54" s="130" t="s">
        <v>158</v>
      </c>
      <c r="B54" s="132">
        <v>-17884.68</v>
      </c>
      <c r="C54" s="132">
        <v>-4276.38</v>
      </c>
      <c r="D54" s="132">
        <v>-4775.5</v>
      </c>
      <c r="E54" s="132">
        <v>-11024.32</v>
      </c>
      <c r="F54" s="132">
        <v>-12967.34</v>
      </c>
    </row>
    <row r="55">
      <c r="A55" s="130" t="s">
        <v>220</v>
      </c>
      <c r="B55" s="144" t="s">
        <v>26</v>
      </c>
      <c r="C55" s="144" t="s">
        <v>26</v>
      </c>
      <c r="D55" s="144" t="s">
        <v>26</v>
      </c>
      <c r="E55" s="144" t="s">
        <v>26</v>
      </c>
      <c r="F55" s="144" t="s">
        <v>26</v>
      </c>
    </row>
    <row r="56">
      <c r="A56" s="130" t="s">
        <v>159</v>
      </c>
      <c r="B56" s="144">
        <v>-108.1366</v>
      </c>
      <c r="C56" s="144">
        <v>-15.3795</v>
      </c>
      <c r="D56" s="144">
        <v>-13.096</v>
      </c>
      <c r="E56" s="144">
        <v>-16.0184</v>
      </c>
      <c r="F56" s="144">
        <v>-17.9471</v>
      </c>
    </row>
    <row r="57">
      <c r="A57" s="130" t="s">
        <v>160</v>
      </c>
      <c r="B57" s="144">
        <v>-107.8244</v>
      </c>
      <c r="C57" s="144">
        <v>-9.6716</v>
      </c>
      <c r="D57" s="144">
        <v>-11.4011</v>
      </c>
      <c r="E57" s="144">
        <v>-14.8904</v>
      </c>
      <c r="F57" s="144">
        <v>-14.0834</v>
      </c>
    </row>
    <row r="58">
      <c r="A58" s="130" t="s">
        <v>238</v>
      </c>
      <c r="B58" s="132" t="s">
        <v>26</v>
      </c>
      <c r="C58" s="132" t="s">
        <v>26</v>
      </c>
      <c r="D58" s="132" t="s">
        <v>26</v>
      </c>
      <c r="E58" s="132" t="s">
        <v>26</v>
      </c>
      <c r="F58" s="132" t="s">
        <v>26</v>
      </c>
    </row>
    <row r="59">
      <c r="A59" s="130" t="s">
        <v>162</v>
      </c>
      <c r="B59" s="144">
        <v>0.0</v>
      </c>
      <c r="C59" s="144">
        <v>0.0</v>
      </c>
      <c r="D59" s="144">
        <v>0.0</v>
      </c>
      <c r="E59" s="144">
        <v>0.0</v>
      </c>
      <c r="F59" s="144">
        <v>0.0</v>
      </c>
    </row>
    <row r="60">
      <c r="A60" s="130" t="s">
        <v>163</v>
      </c>
      <c r="B60" s="132">
        <v>0.0</v>
      </c>
      <c r="C60" s="132">
        <v>0.0</v>
      </c>
      <c r="D60" s="132">
        <v>0.0</v>
      </c>
      <c r="E60" s="132">
        <v>0.0</v>
      </c>
      <c r="F60" s="132">
        <v>0.0</v>
      </c>
    </row>
    <row r="61">
      <c r="A61" s="130" t="s">
        <v>165</v>
      </c>
      <c r="B61" s="132">
        <v>3446.39</v>
      </c>
      <c r="C61" s="132">
        <v>4908.94</v>
      </c>
      <c r="D61" s="132">
        <v>6109.23</v>
      </c>
      <c r="E61" s="132">
        <v>13132.65</v>
      </c>
      <c r="F61" s="132">
        <v>14000.34</v>
      </c>
    </row>
    <row r="62">
      <c r="A62" s="145" t="s">
        <v>167</v>
      </c>
      <c r="B62" s="147">
        <v>1662.04</v>
      </c>
      <c r="C62" s="147">
        <v>2472.11</v>
      </c>
      <c r="D62" s="147">
        <v>3469.64</v>
      </c>
      <c r="E62" s="147">
        <v>2337.2</v>
      </c>
      <c r="F62" s="147">
        <v>6008.01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0"/>
  </cols>
  <sheetData>
    <row r="1">
      <c r="A1" s="121" t="s">
        <v>7</v>
      </c>
      <c r="B1" s="123" t="s">
        <v>9</v>
      </c>
      <c r="C1" s="123" t="s">
        <v>10</v>
      </c>
      <c r="D1" s="123" t="s">
        <v>11</v>
      </c>
      <c r="E1" s="123" t="s">
        <v>12</v>
      </c>
      <c r="F1" s="123" t="s">
        <v>13</v>
      </c>
    </row>
    <row r="2">
      <c r="A2" s="124" t="s">
        <v>14</v>
      </c>
      <c r="B2" s="126" t="s">
        <v>16</v>
      </c>
      <c r="C2" s="126" t="s">
        <v>17</v>
      </c>
      <c r="D2" s="126" t="s">
        <v>18</v>
      </c>
      <c r="E2" s="126" t="s">
        <v>19</v>
      </c>
      <c r="F2" s="126" t="s">
        <v>20</v>
      </c>
    </row>
    <row r="3">
      <c r="A3" s="127" t="s">
        <v>78</v>
      </c>
      <c r="B3" s="138"/>
      <c r="C3" s="138"/>
      <c r="D3" s="138"/>
      <c r="E3" s="138"/>
      <c r="F3" s="138"/>
    </row>
    <row r="4">
      <c r="A4" s="130" t="s">
        <v>79</v>
      </c>
      <c r="B4" s="132">
        <v>27938.59</v>
      </c>
      <c r="C4" s="132">
        <v>12191.41</v>
      </c>
      <c r="D4" s="132">
        <v>9850.05</v>
      </c>
      <c r="E4" s="132">
        <v>16902.33</v>
      </c>
      <c r="F4" s="132">
        <v>21271.72</v>
      </c>
    </row>
    <row r="5">
      <c r="A5" s="130" t="s">
        <v>80</v>
      </c>
      <c r="B5" s="132">
        <v>16634.32</v>
      </c>
      <c r="C5" s="132">
        <v>4087.0</v>
      </c>
      <c r="D5" s="132">
        <v>2774.41</v>
      </c>
      <c r="E5" s="132">
        <v>2290.0</v>
      </c>
      <c r="F5" s="132">
        <v>6454.52</v>
      </c>
    </row>
    <row r="6">
      <c r="A6" s="130" t="s">
        <v>81</v>
      </c>
      <c r="B6" s="132">
        <v>11304.27</v>
      </c>
      <c r="C6" s="132">
        <v>8104.41</v>
      </c>
      <c r="D6" s="132">
        <v>7075.64</v>
      </c>
      <c r="E6" s="132">
        <v>14612.33</v>
      </c>
      <c r="F6" s="132">
        <v>14817.2</v>
      </c>
    </row>
    <row r="7">
      <c r="A7" s="130" t="s">
        <v>82</v>
      </c>
      <c r="B7" s="132">
        <v>2146.5</v>
      </c>
      <c r="C7" s="132">
        <v>6013.31</v>
      </c>
      <c r="D7" s="132">
        <v>5945.82</v>
      </c>
      <c r="E7" s="132">
        <v>9902.5</v>
      </c>
      <c r="F7" s="132">
        <v>9436.37</v>
      </c>
    </row>
    <row r="8">
      <c r="A8" s="130" t="s">
        <v>83</v>
      </c>
      <c r="B8" s="132" t="s">
        <v>26</v>
      </c>
      <c r="C8" s="132" t="s">
        <v>26</v>
      </c>
      <c r="D8" s="132" t="s">
        <v>26</v>
      </c>
      <c r="E8" s="132">
        <v>9902.5</v>
      </c>
      <c r="F8" s="132">
        <v>9436.37</v>
      </c>
    </row>
    <row r="9">
      <c r="A9" s="130" t="s">
        <v>84</v>
      </c>
      <c r="B9" s="132" t="s">
        <v>26</v>
      </c>
      <c r="C9" s="132" t="s">
        <v>26</v>
      </c>
      <c r="D9" s="132" t="s">
        <v>26</v>
      </c>
      <c r="E9" s="132">
        <v>0.0</v>
      </c>
      <c r="F9" s="132">
        <v>0.0</v>
      </c>
    </row>
    <row r="10">
      <c r="A10" s="130" t="s">
        <v>86</v>
      </c>
      <c r="B10" s="132">
        <v>226.33</v>
      </c>
      <c r="C10" s="132">
        <v>178.32</v>
      </c>
      <c r="D10" s="132">
        <v>259.48</v>
      </c>
      <c r="E10" s="132">
        <v>253.06</v>
      </c>
      <c r="F10" s="132">
        <v>193.56</v>
      </c>
    </row>
    <row r="11">
      <c r="A11" s="130" t="s">
        <v>87</v>
      </c>
      <c r="B11" s="132" t="s">
        <v>26</v>
      </c>
      <c r="C11" s="132">
        <v>0.0</v>
      </c>
      <c r="D11" s="132" t="s">
        <v>26</v>
      </c>
      <c r="E11" s="132" t="s">
        <v>26</v>
      </c>
      <c r="F11" s="132" t="s">
        <v>26</v>
      </c>
    </row>
    <row r="12">
      <c r="A12" s="130" t="s">
        <v>88</v>
      </c>
      <c r="B12" s="132" t="s">
        <v>26</v>
      </c>
      <c r="C12" s="132">
        <v>0.0</v>
      </c>
      <c r="D12" s="132" t="s">
        <v>26</v>
      </c>
      <c r="E12" s="132" t="s">
        <v>26</v>
      </c>
      <c r="F12" s="132" t="s">
        <v>26</v>
      </c>
    </row>
    <row r="13">
      <c r="A13" s="130" t="s">
        <v>89</v>
      </c>
      <c r="B13" s="132" t="s">
        <v>26</v>
      </c>
      <c r="C13" s="132">
        <v>178.32</v>
      </c>
      <c r="D13" s="132">
        <v>259.48</v>
      </c>
      <c r="E13" s="132" t="s">
        <v>26</v>
      </c>
      <c r="F13" s="132" t="s">
        <v>26</v>
      </c>
    </row>
    <row r="14">
      <c r="A14" s="130" t="s">
        <v>90</v>
      </c>
      <c r="B14" s="132" t="s">
        <v>26</v>
      </c>
      <c r="C14" s="132">
        <v>0.0</v>
      </c>
      <c r="D14" s="132" t="s">
        <v>26</v>
      </c>
      <c r="E14" s="132" t="s">
        <v>26</v>
      </c>
      <c r="F14" s="132" t="s">
        <v>26</v>
      </c>
    </row>
    <row r="15">
      <c r="A15" s="130" t="s">
        <v>91</v>
      </c>
      <c r="B15" s="132">
        <v>2384.49</v>
      </c>
      <c r="C15" s="132">
        <v>7344.54</v>
      </c>
      <c r="D15" s="132">
        <v>12249.63</v>
      </c>
      <c r="E15" s="132">
        <v>12541.87</v>
      </c>
      <c r="F15" s="132">
        <v>38486.93</v>
      </c>
    </row>
    <row r="16">
      <c r="A16" s="130" t="s">
        <v>97</v>
      </c>
      <c r="B16" s="132">
        <v>2384.49</v>
      </c>
      <c r="C16" s="132">
        <v>7344.54</v>
      </c>
      <c r="D16" s="132">
        <v>12249.63</v>
      </c>
      <c r="E16" s="132">
        <v>12541.87</v>
      </c>
      <c r="F16" s="132">
        <v>38486.93</v>
      </c>
    </row>
    <row r="17">
      <c r="A17" s="127" t="s">
        <v>98</v>
      </c>
      <c r="B17" s="129">
        <v>32695.91</v>
      </c>
      <c r="C17" s="129">
        <v>25727.58</v>
      </c>
      <c r="D17" s="129">
        <v>28304.98</v>
      </c>
      <c r="E17" s="129">
        <v>39599.76</v>
      </c>
      <c r="F17" s="129">
        <v>69388.58</v>
      </c>
    </row>
    <row r="18">
      <c r="A18" s="130" t="s">
        <v>99</v>
      </c>
      <c r="B18" s="132">
        <v>4594.04</v>
      </c>
      <c r="C18" s="132">
        <v>7407.27</v>
      </c>
      <c r="D18" s="132">
        <v>10975.3</v>
      </c>
      <c r="E18" s="132">
        <v>13750.02</v>
      </c>
      <c r="F18" s="132">
        <v>14833.43</v>
      </c>
    </row>
    <row r="19">
      <c r="A19" s="130" t="s">
        <v>100</v>
      </c>
      <c r="B19" s="132" t="s">
        <v>26</v>
      </c>
      <c r="C19" s="132">
        <v>10693.15</v>
      </c>
      <c r="D19" s="132">
        <v>15684.94</v>
      </c>
      <c r="E19" s="132" t="s">
        <v>26</v>
      </c>
      <c r="F19" s="132">
        <v>24454.52</v>
      </c>
    </row>
    <row r="20">
      <c r="A20" s="130" t="s">
        <v>101</v>
      </c>
      <c r="B20" s="132" t="s">
        <v>26</v>
      </c>
      <c r="C20" s="132">
        <v>3285.88</v>
      </c>
      <c r="D20" s="132">
        <v>4709.64</v>
      </c>
      <c r="E20" s="132" t="s">
        <v>26</v>
      </c>
      <c r="F20" s="132">
        <v>9621.09</v>
      </c>
    </row>
    <row r="21">
      <c r="A21" s="130" t="s">
        <v>102</v>
      </c>
      <c r="B21" s="132">
        <v>274.33</v>
      </c>
      <c r="C21" s="132">
        <v>3772.39</v>
      </c>
      <c r="D21" s="132">
        <v>4205.89</v>
      </c>
      <c r="E21" s="132">
        <v>6295.06</v>
      </c>
      <c r="F21" s="132">
        <v>6124.67</v>
      </c>
    </row>
    <row r="22">
      <c r="A22" s="130" t="s">
        <v>103</v>
      </c>
      <c r="B22" s="132">
        <v>274.33</v>
      </c>
      <c r="C22" s="132">
        <v>3772.39</v>
      </c>
      <c r="D22" s="132">
        <v>4205.89</v>
      </c>
      <c r="E22" s="132">
        <v>6295.06</v>
      </c>
      <c r="F22" s="132">
        <v>6124.67</v>
      </c>
    </row>
    <row r="23">
      <c r="A23" s="130" t="s">
        <v>105</v>
      </c>
      <c r="B23" s="132">
        <v>3061.17</v>
      </c>
      <c r="C23" s="132">
        <v>6665.84</v>
      </c>
      <c r="D23" s="132">
        <v>2491.81</v>
      </c>
      <c r="E23" s="132">
        <v>22863.16</v>
      </c>
      <c r="F23" s="132">
        <v>21546.17</v>
      </c>
    </row>
    <row r="24">
      <c r="A24" s="130" t="s">
        <v>106</v>
      </c>
      <c r="B24" s="132">
        <v>294.42</v>
      </c>
      <c r="C24" s="132">
        <v>348.29</v>
      </c>
      <c r="D24" s="132">
        <v>326.03</v>
      </c>
      <c r="E24" s="132">
        <v>17373.62</v>
      </c>
      <c r="F24" s="132">
        <v>15347.34</v>
      </c>
    </row>
    <row r="25">
      <c r="A25" s="133" t="s">
        <v>107</v>
      </c>
      <c r="B25" s="135">
        <v>163.8</v>
      </c>
      <c r="C25" s="135">
        <v>186.4</v>
      </c>
      <c r="D25" s="135">
        <v>186.48</v>
      </c>
      <c r="E25" s="135">
        <v>13799.04</v>
      </c>
      <c r="F25" s="135">
        <v>13620.7</v>
      </c>
    </row>
    <row r="26">
      <c r="A26" s="133" t="s">
        <v>108</v>
      </c>
      <c r="B26" s="135">
        <v>130.62</v>
      </c>
      <c r="C26" s="135">
        <v>161.89</v>
      </c>
      <c r="D26" s="135">
        <v>139.55</v>
      </c>
      <c r="E26" s="135">
        <v>3574.58</v>
      </c>
      <c r="F26" s="135">
        <v>1726.64</v>
      </c>
    </row>
    <row r="27">
      <c r="A27" s="130" t="s">
        <v>95</v>
      </c>
      <c r="B27" s="132">
        <v>596.45</v>
      </c>
      <c r="C27" s="132">
        <v>1050.15</v>
      </c>
      <c r="D27" s="132">
        <v>1231.69</v>
      </c>
      <c r="E27" s="132" t="s">
        <v>26</v>
      </c>
      <c r="F27" s="132">
        <v>229.02</v>
      </c>
    </row>
    <row r="28">
      <c r="A28" s="130" t="s">
        <v>110</v>
      </c>
      <c r="B28" s="132" t="s">
        <v>26</v>
      </c>
      <c r="C28" s="132">
        <v>0.0</v>
      </c>
      <c r="D28" s="132" t="s">
        <v>26</v>
      </c>
      <c r="E28" s="132">
        <v>0.0</v>
      </c>
      <c r="F28" s="132">
        <v>0.0</v>
      </c>
    </row>
    <row r="29">
      <c r="A29" s="130" t="s">
        <v>111</v>
      </c>
      <c r="B29" s="132">
        <v>2170.3</v>
      </c>
      <c r="C29" s="132">
        <v>5267.4</v>
      </c>
      <c r="D29" s="132">
        <v>934.09</v>
      </c>
      <c r="E29" s="132">
        <v>5489.54</v>
      </c>
      <c r="F29" s="132">
        <v>5969.81</v>
      </c>
    </row>
    <row r="30">
      <c r="A30" s="127" t="s">
        <v>112</v>
      </c>
      <c r="B30" s="129">
        <v>7929.54</v>
      </c>
      <c r="C30" s="129">
        <v>17845.5</v>
      </c>
      <c r="D30" s="129">
        <v>17673.0</v>
      </c>
      <c r="E30" s="129">
        <v>42908.24</v>
      </c>
      <c r="F30" s="129">
        <v>42504.27</v>
      </c>
    </row>
    <row r="31">
      <c r="A31" s="127" t="s">
        <v>78</v>
      </c>
      <c r="B31" s="129">
        <v>40625.45</v>
      </c>
      <c r="C31" s="129">
        <v>43573.08</v>
      </c>
      <c r="D31" s="129">
        <v>45977.98</v>
      </c>
      <c r="E31" s="129">
        <v>82508.0</v>
      </c>
      <c r="F31" s="129">
        <v>111892.85</v>
      </c>
    </row>
    <row r="32">
      <c r="A32" s="136"/>
      <c r="B32" s="138"/>
      <c r="C32" s="138"/>
      <c r="D32" s="138"/>
      <c r="E32" s="138"/>
      <c r="F32" s="138"/>
    </row>
    <row r="33">
      <c r="A33" s="127" t="s">
        <v>113</v>
      </c>
      <c r="B33" s="138"/>
      <c r="C33" s="138"/>
      <c r="D33" s="138"/>
      <c r="E33" s="138"/>
      <c r="F33" s="138"/>
    </row>
    <row r="34">
      <c r="A34" s="130" t="s">
        <v>114</v>
      </c>
      <c r="B34" s="132">
        <v>1582.39</v>
      </c>
      <c r="C34" s="132">
        <v>2733.5</v>
      </c>
      <c r="D34" s="132">
        <v>4422.3</v>
      </c>
      <c r="E34" s="132">
        <v>8345.0</v>
      </c>
      <c r="F34" s="132">
        <v>7873.55</v>
      </c>
    </row>
    <row r="35">
      <c r="A35" s="130" t="s">
        <v>115</v>
      </c>
      <c r="B35" s="132">
        <v>0.61</v>
      </c>
      <c r="C35" s="132">
        <v>7.97</v>
      </c>
      <c r="D35" s="132">
        <v>20.52</v>
      </c>
      <c r="E35" s="132">
        <v>8345.0</v>
      </c>
      <c r="F35" s="132">
        <v>7873.55</v>
      </c>
    </row>
    <row r="36">
      <c r="A36" s="130" t="s">
        <v>118</v>
      </c>
      <c r="B36" s="132">
        <v>1581.78</v>
      </c>
      <c r="C36" s="132">
        <v>2725.53</v>
      </c>
      <c r="D36" s="132">
        <v>4401.78</v>
      </c>
      <c r="E36" s="132" t="s">
        <v>26</v>
      </c>
      <c r="F36" s="132" t="s">
        <v>26</v>
      </c>
    </row>
    <row r="37">
      <c r="A37" s="130" t="s">
        <v>119</v>
      </c>
      <c r="B37" s="132">
        <v>1324.4</v>
      </c>
      <c r="C37" s="132">
        <v>2677.79</v>
      </c>
      <c r="D37" s="132">
        <v>3314.5</v>
      </c>
      <c r="E37" s="132">
        <v>4111.56</v>
      </c>
      <c r="F37" s="132">
        <v>2747.36</v>
      </c>
    </row>
    <row r="38">
      <c r="A38" s="130" t="s">
        <v>120</v>
      </c>
      <c r="B38" s="132">
        <v>579.97</v>
      </c>
      <c r="C38" s="132">
        <v>1570.13</v>
      </c>
      <c r="D38" s="132">
        <v>1697.34</v>
      </c>
      <c r="E38" s="132">
        <v>2355.28</v>
      </c>
      <c r="F38" s="132">
        <v>844.67</v>
      </c>
    </row>
    <row r="39">
      <c r="A39" s="130" t="s">
        <v>121</v>
      </c>
      <c r="B39" s="132">
        <v>744.43</v>
      </c>
      <c r="C39" s="132">
        <v>1107.66</v>
      </c>
      <c r="D39" s="132">
        <v>1617.16</v>
      </c>
      <c r="E39" s="132">
        <v>1756.28</v>
      </c>
      <c r="F39" s="132">
        <v>1902.69</v>
      </c>
    </row>
    <row r="40">
      <c r="A40" s="130" t="s">
        <v>124</v>
      </c>
      <c r="B40" s="132">
        <v>920.76</v>
      </c>
      <c r="C40" s="132">
        <v>1421.84</v>
      </c>
      <c r="D40" s="132">
        <v>1799.52</v>
      </c>
      <c r="E40" s="132">
        <v>2562.44</v>
      </c>
      <c r="F40" s="132">
        <v>2189.9</v>
      </c>
    </row>
    <row r="41">
      <c r="A41" s="130" t="s">
        <v>137</v>
      </c>
      <c r="B41" s="132">
        <v>0.0</v>
      </c>
      <c r="C41" s="132">
        <v>1.24</v>
      </c>
      <c r="D41" s="132">
        <v>1.2</v>
      </c>
      <c r="E41" s="132">
        <v>0.0</v>
      </c>
      <c r="F41" s="132">
        <v>0.0</v>
      </c>
    </row>
    <row r="42">
      <c r="A42" s="130" t="s">
        <v>127</v>
      </c>
      <c r="B42" s="132">
        <v>920.76</v>
      </c>
      <c r="C42" s="132">
        <v>1420.6</v>
      </c>
      <c r="D42" s="132">
        <v>1798.32</v>
      </c>
      <c r="E42" s="132">
        <v>2562.44</v>
      </c>
      <c r="F42" s="132">
        <v>2189.9</v>
      </c>
    </row>
    <row r="43">
      <c r="A43" s="127" t="s">
        <v>128</v>
      </c>
      <c r="B43" s="129">
        <v>3827.55</v>
      </c>
      <c r="C43" s="129">
        <v>6833.13</v>
      </c>
      <c r="D43" s="129">
        <v>9536.32</v>
      </c>
      <c r="E43" s="129">
        <v>15019.0</v>
      </c>
      <c r="F43" s="129">
        <v>12810.81</v>
      </c>
    </row>
    <row r="44">
      <c r="A44" s="130" t="s">
        <v>129</v>
      </c>
      <c r="B44" s="132">
        <v>2781.42</v>
      </c>
      <c r="C44" s="132">
        <v>4868.67</v>
      </c>
      <c r="D44" s="132">
        <v>7854.53</v>
      </c>
      <c r="E44" s="132">
        <v>6903.63</v>
      </c>
      <c r="F44" s="132">
        <v>6487.07</v>
      </c>
    </row>
    <row r="45">
      <c r="A45" s="130" t="s">
        <v>130</v>
      </c>
      <c r="B45" s="132">
        <v>356.2</v>
      </c>
      <c r="C45" s="132">
        <v>998.02</v>
      </c>
      <c r="D45" s="132">
        <v>1316.09</v>
      </c>
      <c r="E45" s="132">
        <v>1176.11</v>
      </c>
      <c r="F45" s="132">
        <v>1144.07</v>
      </c>
    </row>
    <row r="46">
      <c r="A46" s="130" t="s">
        <v>131</v>
      </c>
      <c r="B46" s="132">
        <v>2425.22</v>
      </c>
      <c r="C46" s="132">
        <v>3870.65</v>
      </c>
      <c r="D46" s="132">
        <v>6538.44</v>
      </c>
      <c r="E46" s="132">
        <v>5727.52</v>
      </c>
      <c r="F46" s="132">
        <v>5343.0</v>
      </c>
    </row>
    <row r="47">
      <c r="A47" s="130" t="s">
        <v>133</v>
      </c>
      <c r="B47" s="132">
        <v>133.65</v>
      </c>
      <c r="C47" s="132">
        <v>167.22</v>
      </c>
      <c r="D47" s="132">
        <v>219.16</v>
      </c>
      <c r="E47" s="132">
        <v>1011.68</v>
      </c>
      <c r="F47" s="132">
        <v>823.6</v>
      </c>
    </row>
    <row r="48">
      <c r="A48" s="130" t="s">
        <v>134</v>
      </c>
      <c r="B48" s="132">
        <v>0.0</v>
      </c>
      <c r="C48" s="132">
        <v>0.0</v>
      </c>
      <c r="D48" s="132">
        <v>0.0</v>
      </c>
      <c r="E48" s="132" t="s">
        <v>26</v>
      </c>
      <c r="F48" s="132" t="s">
        <v>26</v>
      </c>
    </row>
    <row r="49">
      <c r="A49" s="130" t="s">
        <v>137</v>
      </c>
      <c r="B49" s="132">
        <v>0.0</v>
      </c>
      <c r="C49" s="132">
        <v>0.0</v>
      </c>
      <c r="D49" s="132">
        <v>0.0</v>
      </c>
      <c r="E49" s="132">
        <v>629.13</v>
      </c>
      <c r="F49" s="132">
        <v>312.55</v>
      </c>
    </row>
    <row r="50">
      <c r="A50" s="130" t="s">
        <v>138</v>
      </c>
      <c r="B50" s="132">
        <v>133.65</v>
      </c>
      <c r="C50" s="132">
        <v>167.22</v>
      </c>
      <c r="D50" s="132">
        <v>219.16</v>
      </c>
      <c r="E50" s="132">
        <v>382.55</v>
      </c>
      <c r="F50" s="132">
        <v>511.05</v>
      </c>
    </row>
    <row r="51">
      <c r="A51" s="127" t="s">
        <v>139</v>
      </c>
      <c r="B51" s="129">
        <v>2915.07</v>
      </c>
      <c r="C51" s="129">
        <v>5035.89</v>
      </c>
      <c r="D51" s="129">
        <v>8073.69</v>
      </c>
      <c r="E51" s="129">
        <v>7915.31</v>
      </c>
      <c r="F51" s="129">
        <v>7310.67</v>
      </c>
    </row>
    <row r="52">
      <c r="A52" s="127" t="s">
        <v>140</v>
      </c>
      <c r="B52" s="129">
        <v>6742.62</v>
      </c>
      <c r="C52" s="129">
        <v>11869.02</v>
      </c>
      <c r="D52" s="129">
        <v>17610.01</v>
      </c>
      <c r="E52" s="129">
        <v>22934.31</v>
      </c>
      <c r="F52" s="129">
        <v>20121.48</v>
      </c>
    </row>
    <row r="53">
      <c r="A53" s="130" t="s">
        <v>141</v>
      </c>
      <c r="B53" s="132">
        <v>391.72</v>
      </c>
      <c r="C53" s="132">
        <v>391.72</v>
      </c>
      <c r="D53" s="132">
        <v>353.99</v>
      </c>
      <c r="E53" s="132">
        <v>0.0</v>
      </c>
      <c r="F53" s="132">
        <v>0.0</v>
      </c>
    </row>
    <row r="54">
      <c r="A54" s="130" t="s">
        <v>142</v>
      </c>
      <c r="B54" s="132" t="s">
        <v>26</v>
      </c>
      <c r="C54" s="132">
        <v>74079.43</v>
      </c>
      <c r="D54" s="132">
        <v>74323.19</v>
      </c>
      <c r="E54" s="132" t="s">
        <v>26</v>
      </c>
      <c r="F54" s="132">
        <v>154324.61</v>
      </c>
    </row>
    <row r="55">
      <c r="A55" s="130" t="s">
        <v>143</v>
      </c>
      <c r="B55" s="132">
        <v>9.58</v>
      </c>
      <c r="C55" s="132">
        <v>9.75</v>
      </c>
      <c r="D55" s="132">
        <v>16.33</v>
      </c>
      <c r="E55" s="132">
        <v>642.11</v>
      </c>
      <c r="F55" s="132">
        <v>728.72</v>
      </c>
    </row>
    <row r="56">
      <c r="A56" s="130" t="s">
        <v>144</v>
      </c>
      <c r="B56" s="132" t="s">
        <v>26</v>
      </c>
      <c r="C56" s="132">
        <v>74069.68</v>
      </c>
      <c r="D56" s="132">
        <v>74306.86</v>
      </c>
      <c r="E56" s="132" t="s">
        <v>26</v>
      </c>
      <c r="F56" s="132">
        <v>153595.89</v>
      </c>
    </row>
    <row r="57">
      <c r="A57" s="130" t="s">
        <v>145</v>
      </c>
      <c r="B57" s="132" t="s">
        <v>26</v>
      </c>
      <c r="C57" s="132">
        <v>0.0</v>
      </c>
      <c r="D57" s="132" t="s">
        <v>26</v>
      </c>
      <c r="E57" s="132">
        <v>0.0</v>
      </c>
      <c r="F57" s="132">
        <v>0.0</v>
      </c>
    </row>
    <row r="58">
      <c r="A58" s="130" t="s">
        <v>146</v>
      </c>
      <c r="B58" s="132" t="s">
        <v>26</v>
      </c>
      <c r="C58" s="132">
        <v>-44132.36</v>
      </c>
      <c r="D58" s="132">
        <v>-48279.41</v>
      </c>
      <c r="E58" s="132" t="s">
        <v>26</v>
      </c>
      <c r="F58" s="132">
        <v>-68463.37</v>
      </c>
    </row>
    <row r="59">
      <c r="A59" s="130" t="s">
        <v>147</v>
      </c>
      <c r="B59" s="132">
        <v>33481.53</v>
      </c>
      <c r="C59" s="132">
        <v>1365.27</v>
      </c>
      <c r="D59" s="132">
        <v>1970.2</v>
      </c>
      <c r="E59" s="132">
        <v>58931.58</v>
      </c>
      <c r="F59" s="132">
        <v>5910.13</v>
      </c>
    </row>
    <row r="60">
      <c r="A60" s="127" t="s">
        <v>148</v>
      </c>
      <c r="B60" s="129">
        <v>33882.83</v>
      </c>
      <c r="C60" s="129">
        <v>31704.06</v>
      </c>
      <c r="D60" s="129">
        <v>28367.97</v>
      </c>
      <c r="E60" s="129">
        <v>59573.69</v>
      </c>
      <c r="F60" s="129">
        <v>91771.37</v>
      </c>
    </row>
    <row r="61">
      <c r="A61" s="127" t="s">
        <v>150</v>
      </c>
      <c r="B61" s="129">
        <v>33882.83</v>
      </c>
      <c r="C61" s="129">
        <v>31704.06</v>
      </c>
      <c r="D61" s="129">
        <v>28367.97</v>
      </c>
      <c r="E61" s="129">
        <v>59573.69</v>
      </c>
      <c r="F61" s="129">
        <v>91771.37</v>
      </c>
    </row>
    <row r="62">
      <c r="A62" s="127" t="s">
        <v>151</v>
      </c>
      <c r="B62" s="129">
        <v>40625.45</v>
      </c>
      <c r="C62" s="129">
        <v>43573.08</v>
      </c>
      <c r="D62" s="129">
        <v>45977.98</v>
      </c>
      <c r="E62" s="129">
        <v>82508.0</v>
      </c>
      <c r="F62" s="129">
        <v>111892.85</v>
      </c>
    </row>
    <row r="63">
      <c r="A63" s="136"/>
      <c r="B63" s="138"/>
      <c r="C63" s="138"/>
      <c r="D63" s="138"/>
      <c r="E63" s="138"/>
      <c r="F63" s="138"/>
    </row>
    <row r="64">
      <c r="A64" s="127" t="s">
        <v>219</v>
      </c>
      <c r="B64" s="138"/>
      <c r="C64" s="138"/>
      <c r="D64" s="138"/>
      <c r="E64" s="138"/>
      <c r="F64" s="138"/>
    </row>
    <row r="65">
      <c r="A65" s="130" t="s">
        <v>153</v>
      </c>
      <c r="B65" s="142" t="s">
        <v>154</v>
      </c>
      <c r="C65" s="142" t="s">
        <v>154</v>
      </c>
      <c r="D65" s="142" t="s">
        <v>154</v>
      </c>
      <c r="E65" s="142" t="s">
        <v>154</v>
      </c>
      <c r="F65" s="142" t="s">
        <v>154</v>
      </c>
    </row>
    <row r="66">
      <c r="A66" s="130" t="s">
        <v>224</v>
      </c>
      <c r="B66" s="132" t="s">
        <v>26</v>
      </c>
      <c r="C66" s="132">
        <v>0.975</v>
      </c>
      <c r="D66" s="132" t="s">
        <v>26</v>
      </c>
      <c r="E66" s="132">
        <v>642.11</v>
      </c>
      <c r="F66" s="132">
        <v>728.72</v>
      </c>
    </row>
    <row r="67">
      <c r="A67" s="130" t="s">
        <v>225</v>
      </c>
      <c r="B67" s="132" t="s">
        <v>26</v>
      </c>
      <c r="C67" s="132">
        <v>0.0</v>
      </c>
      <c r="D67" s="132">
        <v>0.0</v>
      </c>
      <c r="E67" s="132">
        <v>0.0</v>
      </c>
      <c r="F67" s="132">
        <v>0.0</v>
      </c>
    </row>
    <row r="68">
      <c r="A68" s="130" t="s">
        <v>233</v>
      </c>
      <c r="B68" s="132">
        <v>-23832.77</v>
      </c>
      <c r="C68" s="132">
        <v>-4644.95</v>
      </c>
      <c r="D68" s="132">
        <v>1318.98</v>
      </c>
      <c r="E68" s="132">
        <v>-5887.14</v>
      </c>
      <c r="F68" s="132">
        <v>-12037.29</v>
      </c>
    </row>
    <row r="69">
      <c r="A69" s="130" t="s">
        <v>234</v>
      </c>
      <c r="B69" s="144">
        <v>-70.3388</v>
      </c>
      <c r="C69" s="144">
        <v>-14.651</v>
      </c>
      <c r="D69" s="144">
        <v>4.6495</v>
      </c>
      <c r="E69" s="144">
        <v>-9.8821</v>
      </c>
      <c r="F69" s="144">
        <v>-13.1166</v>
      </c>
    </row>
    <row r="70">
      <c r="A70" s="130" t="s">
        <v>235</v>
      </c>
      <c r="B70" s="144">
        <v>82.3105</v>
      </c>
      <c r="C70" s="144">
        <v>71.6349</v>
      </c>
      <c r="D70" s="144">
        <v>60.6501</v>
      </c>
      <c r="E70" s="144">
        <v>64.7892</v>
      </c>
      <c r="F70" s="144">
        <v>79.1586</v>
      </c>
    </row>
    <row r="71">
      <c r="A71" s="130" t="s">
        <v>236</v>
      </c>
      <c r="B71" s="144">
        <v>8.5423</v>
      </c>
      <c r="C71" s="144">
        <v>3.7651</v>
      </c>
      <c r="D71" s="144">
        <v>2.9681</v>
      </c>
      <c r="E71" s="144">
        <v>2.6366</v>
      </c>
      <c r="F71" s="144">
        <v>5.4164</v>
      </c>
    </row>
    <row r="72">
      <c r="A72" s="145" t="s">
        <v>239</v>
      </c>
      <c r="B72" s="150" t="s">
        <v>26</v>
      </c>
      <c r="C72" s="150">
        <v>1175.0993</v>
      </c>
      <c r="D72" s="150">
        <v>814.1824</v>
      </c>
      <c r="E72" s="150">
        <v>-780.0366</v>
      </c>
      <c r="F72" s="150" t="s">
        <v>26</v>
      </c>
    </row>
  </sheetData>
  <drawing r:id="rId1"/>
</worksheet>
</file>